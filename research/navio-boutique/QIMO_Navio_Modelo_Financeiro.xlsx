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" sheetId="2" state="visible" r:id="rId4"/>
    <sheet name="Premissas" sheetId="3" state="visible" r:id="rId5"/>
    <sheet name="Tripulacao" sheetId="4" state="visible" r:id="rId6"/>
    <sheet name="CAPEX_Construcao" sheetId="5" state="visible" r:id="rId7"/>
    <sheet name="Charter" sheetId="6" state="visible" r:id="rId8"/>
    <sheet name="Projecao" sheetId="7" state="visible" r:id="rId9"/>
    <sheet name="Sensib_Semanas" sheetId="8" state="visible" r:id="rId10"/>
    <sheet name="Buy_Build_Charter" sheetId="9" state="visible" r:id="rId11"/>
    <sheet name="Financiamento" sheetId="10" state="visible" r:id="rId12"/>
    <sheet name="Fon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<sst xmlns="http://schemas.openxmlformats.org/spreadsheetml/2006/main" count="1666" uniqueCount="586">
  <si>
    <t xml:space="preserve">QIMO · Estudo de viabilidade — navio boutique próprio × charter</t>
  </si>
  <si>
    <t xml:space="preserve">Objetivo: comparar COMPRAR USADO × CONSTRUIR NOVO × CONTINUAR FRETANDO para operar grupos privados QIMO na Grécia/Mediterrâneo.</t>
  </si>
  <si>
    <t xml:space="preserve">Data-base: outubro/2026. Moeda: € (USD convertido a 1,15; BRL a 5,85).</t>
  </si>
  <si>
    <t xml:space="preserve">COMO USAR</t>
  </si>
  <si>
    <t xml:space="preserve">1) Edite somente as células em AZUL (inputs). Amarelo = premissas-chave (semanas, semanas QIMO, tarifa, preço do navio, combustível, alíquota, hurdle).</t>
  </si>
  <si>
    <t xml:space="preserve">2) Preto = fórmula. Verde = link de outra aba. Não sobrescreva fórmulas.</t>
  </si>
  <si>
    <t xml:space="preserve">3) Tudo recalcula: Projecao (18 blocos = 6 opções × 3 cenários), Sensib_Semanas, Buy_Build_Charter, Financiamento e Painel.</t>
  </si>
  <si>
    <t xml:space="preserve">ABAS</t>
  </si>
  <si>
    <t xml:space="preserve">Painel — resultados-chave (TIR, VPL, payback, break-even, semanas p/ possuir = fretar, alavancagem).</t>
  </si>
  <si>
    <t xml:space="preserve">Premissas — gerais, cenários e as 6 opções de navio (A/B/C × novo/usado), com tipo e fonte de cada número.</t>
  </si>
  <si>
    <t xml:space="preserve">Tripulacao — quadro de tripulação por configuração, salários e custo anual.</t>
  </si>
  <si>
    <t xml:space="preserve">CAPEX_Construcao — breakdown de construção nova em 3 padrões (Premium funcional / Luxury boutique / Ultra-luxury) e custo por região.</t>
  </si>
  <si>
    <t xml:space="preserve">Charter — custo efetivo de fretar (tarifa, APA, IVA, gorjetas, excursões) por semana, cabine e passageiro.</t>
  </si>
  <si>
    <t xml:space="preserve">Projecao — DRE e fluxo de caixa de 10 anos: receita, OPEX, EBITDA, EBIT, impostos, docagens, CAPEX de manutenção, residual, TIR, VPL, payback, ROI, ROIC.</t>
  </si>
  <si>
    <t xml:space="preserve">Sensib_Semanas — impacto de 10 a 35 semanas/ano.</t>
  </si>
  <si>
    <t xml:space="preserve">Buy_Build_Charter — crossover possuir × fretar e preço máximo justificável do navio.</t>
  </si>
  <si>
    <t xml:space="preserve">Financiamento — 100% equity, 50/50 e 30/70: TIR do acionista e DSCR.</t>
  </si>
  <si>
    <t xml:space="preserve">Fontes — lista de fontes.</t>
  </si>
  <si>
    <t xml:space="preserve">CONVENÇÕES DE QUALIDADE DO DADO</t>
  </si>
  <si>
    <t xml:space="preserve">CONFIRMADO = consta em fonte citada (anúncio, tabela de broker, relatório). ESTIMATIVA = cálculo fundamentado (método descrito). PREMISSA = escolha de modelagem a validar.</t>
  </si>
  <si>
    <t xml:space="preserve">Limitação: parte das fontes foi lida via resumo de mecanismo de busca (proxy bloqueou páginas). Validar preços-chave diretamente com brokers antes de decisão.</t>
  </si>
  <si>
    <t xml:space="preserve">PRINCIPAIS SIMPLIFICAÇÕES</t>
  </si>
  <si>
    <t xml:space="preserve">• Taxas portuárias, taxa de cruzeiro grega, bebidas e combustível extra são repasse (APA) — neutros no resultado e excluídos dos dois lados da comparação com charter.</t>
  </si>
  <si>
    <t xml:space="preserve">• IVA excluído das comparações (incide de forma semelhante nos dois modelos; tratamento a validar).</t>
  </si>
  <si>
    <t xml:space="preserve">• Impostos: CFC brasileira (34%) sobre EBIT positivo, sem compensação de prejuízos (conservador).</t>
  </si>
  <si>
    <t xml:space="preserve">• A margem da QIMO na venda da viagem ao cliente final existe nos dois modelos e não entra na comparação.</t>
  </si>
  <si>
    <t xml:space="preserve">QIMO · Navio Boutique — Painel executivo (atualiza com as Premissas)</t>
  </si>
  <si>
    <t xml:space="preserve">Devemos investir em um navio próprio? Leia as linhas de TIR, VPL e semanas para possuir = fretar.</t>
  </si>
  <si>
    <t xml:space="preserve">1. Resultados por opção e cenário</t>
  </si>
  <si>
    <t xml:space="preserve">Opção / cenário</t>
  </si>
  <si>
    <t xml:space="preserve">CAPEX</t>
  </si>
  <si>
    <t xml:space="preserve">Receita a3</t>
  </si>
  <si>
    <t xml:space="preserve">EBITDA a3</t>
  </si>
  <si>
    <t xml:space="preserve">Margem a3</t>
  </si>
  <si>
    <t xml:space="preserve">TIR 10a</t>
  </si>
  <si>
    <t xml:space="preserve">VPL @hurdle</t>
  </si>
  <si>
    <t xml:space="preserve">Payback</t>
  </si>
  <si>
    <t xml:space="preserve">Break-even (sem.)</t>
  </si>
  <si>
    <t xml:space="preserve">ROIC médio</t>
  </si>
  <si>
    <t xml:space="preserve">C · 36 cab/72 pax · NOVO · Conservador</t>
  </si>
  <si>
    <t xml:space="preserve">C · 36 cab/72 pax · NOVO · Base</t>
  </si>
  <si>
    <t xml:space="preserve">C · 36 cab/72 pax · NOVO · Otimista</t>
  </si>
  <si>
    <t xml:space="preserve">C · 36 cab/72 pax · USADO · Conservador</t>
  </si>
  <si>
    <t xml:space="preserve">C · 36 cab/72 pax · USADO · Base</t>
  </si>
  <si>
    <t xml:space="preserve">C · 36 cab/72 pax · USADO · Otimista</t>
  </si>
  <si>
    <t xml:space="preserve">B · 24 cab/48 pax · NOVO · Conservador</t>
  </si>
  <si>
    <t xml:space="preserve">B · 24 cab/48 pax · NOVO · Base</t>
  </si>
  <si>
    <t xml:space="preserve">B · 24 cab/48 pax · NOVO · Otimista</t>
  </si>
  <si>
    <t xml:space="preserve">B · 24 cab/48 pax · USADO · Conservador</t>
  </si>
  <si>
    <t xml:space="preserve">B · 24 cab/48 pax · USADO · Base</t>
  </si>
  <si>
    <t xml:space="preserve">B · 24 cab/48 pax · USADO · Otimista</t>
  </si>
  <si>
    <t xml:space="preserve">A · 20 cab/40 pax · NOVO · Conservador</t>
  </si>
  <si>
    <t xml:space="preserve">A · 20 cab/40 pax · NOVO · Base</t>
  </si>
  <si>
    <t xml:space="preserve">A · 20 cab/40 pax · NOVO · Otimista</t>
  </si>
  <si>
    <t xml:space="preserve">A · 18 cab/36 pax · USADO · Conservador</t>
  </si>
  <si>
    <t xml:space="preserve">A · 18 cab/36 pax · USADO · Base</t>
  </si>
  <si>
    <t xml:space="preserve">A · 18 cab/36 pax · USADO · Otimista</t>
  </si>
  <si>
    <t xml:space="preserve">2. Possuir × fretar (cenário Base)</t>
  </si>
  <si>
    <t xml:space="preserve">C · 36 cab/72 pax · NOVO</t>
  </si>
  <si>
    <t xml:space="preserve">C · 36 cab/72 pax · USADO</t>
  </si>
  <si>
    <t xml:space="preserve">B · 24 cab/48 pax · NOVO</t>
  </si>
  <si>
    <t xml:space="preserve">B · 24 cab/48 pax · USADO</t>
  </si>
  <si>
    <t xml:space="preserve">A · 20 cab/40 pax · NOVO</t>
  </si>
  <si>
    <t xml:space="preserve">A · 18 cab/36 pax · USADO</t>
  </si>
  <si>
    <t xml:space="preserve">Semanas p/ possuir = fretar</t>
  </si>
  <si>
    <t xml:space="preserve">Custo próprio vs tarifa @26 sem.</t>
  </si>
  <si>
    <t xml:space="preserve">Custo próprio vs tarifa @30 sem.</t>
  </si>
  <si>
    <t xml:space="preserve">CAPEX máx. justificável @26 sem.</t>
  </si>
  <si>
    <t xml:space="preserve">CAPEX máx. justificável @30 sem.</t>
  </si>
  <si>
    <t xml:space="preserve">CAPEX do caso</t>
  </si>
  <si>
    <t xml:space="preserve">3. Charter — custo efetivo para a QIMO (Base)</t>
  </si>
  <si>
    <t xml:space="preserve">Navio</t>
  </si>
  <si>
    <t xml:space="preserve">Tarifa/sem.</t>
  </si>
  <si>
    <t xml:space="preserve">Navio (tarifa+APA+IVA)</t>
  </si>
  <si>
    <t xml:space="preserve">Total semana</t>
  </si>
  <si>
    <t xml:space="preserve">Por passageiro</t>
  </si>
  <si>
    <t xml:space="preserve">72 pax (Voyager)</t>
  </si>
  <si>
    <t xml:space="preserve">48–49 pax</t>
  </si>
  <si>
    <t xml:space="preserve">36–40 pax</t>
  </si>
  <si>
    <t xml:space="preserve">4. Alavancagem — TIR do acionista (cenário Base)</t>
  </si>
  <si>
    <t xml:space="preserve">Opção</t>
  </si>
  <si>
    <t xml:space="preserve">100% equity</t>
  </si>
  <si>
    <t xml:space="preserve">50/50</t>
  </si>
  <si>
    <t xml:space="preserve">30/70</t>
  </si>
  <si>
    <t xml:space="preserve">Equity 30/70</t>
  </si>
  <si>
    <t xml:space="preserve">DSCR mín 50/50</t>
  </si>
  <si>
    <t xml:space="preserve">DSCR mín 30/70</t>
  </si>
  <si>
    <t xml:space="preserve">Serv. dívida 30/70</t>
  </si>
  <si>
    <t xml:space="preserve">QIMO · Navio Boutique — Premissas (editáveis)</t>
  </si>
  <si>
    <t xml:space="preserve">Azul = input editável · Preto = fórmula · Verde = link de outra aba · Amarelo = premissa-chave. Tipo: CONFIRMADO / ESTIMATIVA / PREMISSA. Valores em € (2026) salvo indicação.</t>
  </si>
  <si>
    <t xml:space="preserve">A. PREMISSAS GERAIS</t>
  </si>
  <si>
    <t xml:space="preserve">Parâmetro</t>
  </si>
  <si>
    <t xml:space="preserve">Valor</t>
  </si>
  <si>
    <t xml:space="preserve">Unidade</t>
  </si>
  <si>
    <t xml:space="preserve">Tipo</t>
  </si>
  <si>
    <t xml:space="preserve">Fonte / racional</t>
  </si>
  <si>
    <t xml:space="preserve">Câmbio EUR/USD</t>
  </si>
  <si>
    <t xml:space="preserve">USD por €</t>
  </si>
  <si>
    <t xml:space="preserve">CONFIRMADO</t>
  </si>
  <si>
    <t xml:space="preserve">1,1469 em 16/09/2026 (poundsterlinglive.com/history/EUR-USD-2026); arredondado para 1,15</t>
  </si>
  <si>
    <t xml:space="preserve">Câmbio EUR/BRL</t>
  </si>
  <si>
    <t xml:space="preserve">BRL por €</t>
  </si>
  <si>
    <t xml:space="preserve">≈5,84 no início de out/2026 (longforecast.com/eur-to-brl)</t>
  </si>
  <si>
    <t xml:space="preserve">Inflação de tarifas (a.a.)</t>
  </si>
  <si>
    <t xml:space="preserve">%</t>
  </si>
  <si>
    <t xml:space="preserve">PREMISSA</t>
  </si>
  <si>
    <t xml:space="preserve">Reajuste anual de tarifas de charter/cabine</t>
  </si>
  <si>
    <t xml:space="preserve">Inflação de custos (a.a.)</t>
  </si>
  <si>
    <t xml:space="preserve">Acordos salariais gregos +5% (2025) e +2% (2026); IBF +3,5% (2026)</t>
  </si>
  <si>
    <t xml:space="preserve">Taxa de desconto / hurdle (€, desalavancada)</t>
  </si>
  <si>
    <t xml:space="preserve">Ativo de nicho, 1º navio, operador novo: EURIBOR ~2,4% + prêmio de risco de ativo/operador</t>
  </si>
  <si>
    <t xml:space="preserve">Alíquota efetiva de IR sobre lucro (CFC Brasil)</t>
  </si>
  <si>
    <t xml:space="preserve">Lei 12.973/2014: lucro da controlada no exterior tributado anualmente no Brasil (IRPJ+CSLL 34%), com crédito do imposto pago lá fora. A tonnage tax local NÃO reduz a carga final. Validar com tributarista</t>
  </si>
  <si>
    <t xml:space="preserve">Comissão de broker/agência (charter e cabines de terceiros)</t>
  </si>
  <si>
    <t xml:space="preserve">ESTIMATIVA</t>
  </si>
  <si>
    <t xml:space="preserve">Prática de mercado: 10–20%; 15% central</t>
  </si>
  <si>
    <t xml:space="preserve">Receita líquida a bordo (margem bebidas premium/spa/extras)</t>
  </si>
  <si>
    <t xml:space="preserve">€/pax-semana</t>
  </si>
  <si>
    <t xml:space="preserve">Margem sobre APA/consumo extra; conservador</t>
  </si>
  <si>
    <t xml:space="preserve">Ocupação média de leitos (alimentação/consumo)</t>
  </si>
  <si>
    <t xml:space="preserve">Grupos privados raramente lotam 100% dos leitos</t>
  </si>
  <si>
    <t xml:space="preserve">Alimentação de hóspedes (full board de luxo)</t>
  </si>
  <si>
    <t xml:space="preserve">€/pax-dia</t>
  </si>
  <si>
    <t xml:space="preserve">Benchmark de €45–65/pax-dia para small ship de luxo no Med (pesquisa OPEX)</t>
  </si>
  <si>
    <t xml:space="preserve">Lavanderia, amenities, consumíveis</t>
  </si>
  <si>
    <t xml:space="preserve">€8–12/pax-dia</t>
  </si>
  <si>
    <t xml:space="preserve">Alimentação da tripulação</t>
  </si>
  <si>
    <t xml:space="preserve">€/tripulante-dia</t>
  </si>
  <si>
    <t xml:space="preserve">€12–15/tripulante-dia</t>
  </si>
  <si>
    <t xml:space="preserve">Seguro casco &amp; máquinas (H&amp;M), % do valor</t>
  </si>
  <si>
    <t xml:space="preserve">% do CAPEX</t>
  </si>
  <si>
    <t xml:space="preserve">CONFIRMADO (faixa)</t>
  </si>
  <si>
    <t xml:space="preserve">0,5–1% do valor segurado (oceanindependence.com)</t>
  </si>
  <si>
    <t xml:space="preserve">Encargos s/ folha (viagens, rotação, treinamento, uniformes, recrutamento)</t>
  </si>
  <si>
    <t xml:space="preserve">% da folha</t>
  </si>
  <si>
    <t xml:space="preserve">+20–25% sobre a folha bruta</t>
  </si>
  <si>
    <t xml:space="preserve">Encargos sociais da bandeira</t>
  </si>
  <si>
    <t xml:space="preserve">Malta/Madeira: tripulação não residente isenta ou ~0–5%. Bandeira grega (NAT): 25–30%. Ver aba Estrutura</t>
  </si>
  <si>
    <t xml:space="preserve">Fator de rodízio dos oficiais-chave (relief)</t>
  </si>
  <si>
    <t xml:space="preserve">x</t>
  </si>
  <si>
    <t xml:space="preserve">Rotação 2:1 nos postos-chave adiciona ~30%</t>
  </si>
  <si>
    <t xml:space="preserve">Meses pagos da tripulação sazonal</t>
  </si>
  <si>
    <t xml:space="preserve">meses</t>
  </si>
  <si>
    <t xml:space="preserve">Temporada de abr–out + ~4 semanas de preparação/hibernação</t>
  </si>
  <si>
    <t xml:space="preserve">Custo da dívida (all-in)</t>
  </si>
  <si>
    <t xml:space="preserve">% a.a.</t>
  </si>
  <si>
    <t xml:space="preserve">EURIBOR 3M ~2,4% (jul/2026) + spread 300–450 bps para 1º armador de nicho</t>
  </si>
  <si>
    <t xml:space="preserve">Prazo da dívida</t>
  </si>
  <si>
    <t xml:space="preserve">anos</t>
  </si>
  <si>
    <t xml:space="preserve">5–7 anos com perfil de 10–12 e balloon; ECA de 12 anos para construção nova</t>
  </si>
  <si>
    <t xml:space="preserve">Balloon no vencimento</t>
  </si>
  <si>
    <t xml:space="preserve">% da dívida</t>
  </si>
  <si>
    <t xml:space="preserve">Estrutura usual com balão</t>
  </si>
  <si>
    <t xml:space="preserve">B. CENÁRIOS (Conservador / Base / Otimista)</t>
  </si>
  <si>
    <t xml:space="preserve">Conservador</t>
  </si>
  <si>
    <t xml:space="preserve">Base</t>
  </si>
  <si>
    <t xml:space="preserve">Otimista</t>
  </si>
  <si>
    <t xml:space="preserve">Semanas operadas por ano (regime)</t>
  </si>
  <si>
    <t xml:space="preserve">semanas</t>
  </si>
  <si>
    <t xml:space="preserve">Temporada Med = ~28–30 semanas (abr–out). Variety opera Grécia sex a sex, abr–out</t>
  </si>
  <si>
    <t xml:space="preserve">…das quais: semanas QIMO (uso próprio)</t>
  </si>
  <si>
    <t xml:space="preserve">Volume QIMO a validar internamente — principal driver estratégico</t>
  </si>
  <si>
    <t xml:space="preserve">…das quais: semanas de venda de cabines</t>
  </si>
  <si>
    <t xml:space="preserve">Semanas de ombro vendidas por cabine</t>
  </si>
  <si>
    <t xml:space="preserve">Multiplicador de tarifa (vs. base de mercado)</t>
  </si>
  <si>
    <t xml:space="preserve">Captura a faixa baixa/alta das tarifas confirmadas</t>
  </si>
  <si>
    <t xml:space="preserve">Multiplicador de OPEX</t>
  </si>
  <si>
    <t xml:space="preserve">Faixa de OPEX da pesquisa: €5,2–6,8M p/ 72 pax</t>
  </si>
  <si>
    <t xml:space="preserve">Preço do MGO</t>
  </si>
  <si>
    <t xml:space="preserve">US$/t</t>
  </si>
  <si>
    <t xml:space="preserve">Pireu MGO: US$683–690/t (abr/26) → US$1.657/t (18/09/26, choque no Oriente Médio) (shipandbunker.com)</t>
  </si>
  <si>
    <t xml:space="preserve">Valor residual ano 10 — navio NOVO (% do CAPEX)</t>
  </si>
  <si>
    <t xml:space="preserve">45–65% em mercado normal; 25–40% em mercado estressado (pesquisa de estaleiros, §5)</t>
  </si>
  <si>
    <t xml:space="preserve">Valor residual ano 10 — navio USADO (% do CAPEX)</t>
  </si>
  <si>
    <t xml:space="preserve">Navios pequenos antigos mantêm valor nominal (ex.: Galileo, 1992, ainda vale ~€7M)</t>
  </si>
  <si>
    <t xml:space="preserve">Ramp-up do ano 1 (% das semanas)</t>
  </si>
  <si>
    <t xml:space="preserve">Primeiro ano de operador novo</t>
  </si>
  <si>
    <t xml:space="preserve">Ocupação das semanas de venda por cabine</t>
  </si>
  <si>
    <t xml:space="preserve">C. OPÇÕES DE EMBARCAÇÃO (tamanho × modelo)</t>
  </si>
  <si>
    <t xml:space="preserve">Características</t>
  </si>
  <si>
    <t xml:space="preserve">Cabines</t>
  </si>
  <si>
    <t xml:space="preserve">un</t>
  </si>
  <si>
    <t xml:space="preserve">A/B/C do briefing. B = 24 cab/48 pax (≤49 pax: regime grego de iate profissional, Lei 4926/2022)</t>
  </si>
  <si>
    <t xml:space="preserve">Passageiros (leitos)</t>
  </si>
  <si>
    <t xml:space="preserve">pax</t>
  </si>
  <si>
    <t xml:space="preserve">Tripulação</t>
  </si>
  <si>
    <t xml:space="preserve">pessoas</t>
  </si>
  <si>
    <t xml:space="preserve">Variety Voyager: 29–32 trip. p/ 72 pax; Galileo/Harmony V: 16–18 p/ 49 pax (CONFIRMADO)</t>
  </si>
  <si>
    <t xml:space="preserve">Comprimento (LOA)</t>
  </si>
  <si>
    <t xml:space="preserve">m</t>
  </si>
  <si>
    <t xml:space="preserve">Usados: B = anúncio #1048634 (47 m); A = anúncio #1091239 (63 m, veleiro); C = estimativa (sem anúncio de 72 pax)</t>
  </si>
  <si>
    <t xml:space="preserve">Preço de compra / contrato de construção</t>
  </si>
  <si>
    <t xml:space="preserve">€</t>
  </si>
  <si>
    <t xml:space="preserve">ver fonte</t>
  </si>
  <si>
    <t xml:space="preserve">C_NOVO: luxury boutique, Turquia €34–46M (ESTIMATIVA; Voyager €29M em 2012 ≈ €38–42M hoje). C_USADO: ESTIMATIVA €12–25M (nenhum anúncio de 72 pax encontrado). B_USADO: CONFIRMADO anúncio #1048634 (€7,0M, 49 pax, bandeira grega). A_USADO: CONFIRMADO anúncio #1091239 (€8,3M, 36 pax, Brodosplit 2019). B/A_NOVO: ESTIMATIVA ~€580–600k/leito (navio menor = custo/leito maior)</t>
  </si>
  <si>
    <t xml:space="preserve">Retrofit / upgrade para padrão QIMO</t>
  </si>
  <si>
    <t xml:space="preserve">Cabines + áreas sociais + marina + docagem de entrada; ~€60–80k por cabine + sistemas</t>
  </si>
  <si>
    <t xml:space="preserve">Contingência (% de construção ou retrofit)</t>
  </si>
  <si>
    <t xml:space="preserve">Construção: 7–10%; retrofit de navio usado: 15–25%</t>
  </si>
  <si>
    <t xml:space="preserve">Custos do armador / pré-operacionais</t>
  </si>
  <si>
    <t xml:space="preserve">Novo: ~6% (supervisão, projeto de interiores, OS&amp;E, juros pré-entrega, legal). Usado: inspeção, legal, bandeira, entrega, OS&amp;E, lançamento, capital de giro</t>
  </si>
  <si>
    <t xml:space="preserve">CAPEX TOTAL até a operação</t>
  </si>
  <si>
    <t xml:space="preserve">fórmula</t>
  </si>
  <si>
    <t xml:space="preserve">Soma: preço + retrofit + contingência + custos do armador</t>
  </si>
  <si>
    <t xml:space="preserve">Desembolso no ano -2</t>
  </si>
  <si>
    <t xml:space="preserve">Parcelas típicas: 20% assinatura / 20% corte de aço / 60% entrega (com refund guarantee)</t>
  </si>
  <si>
    <t xml:space="preserve">Desembolso no ano -1</t>
  </si>
  <si>
    <t xml:space="preserve">Desembolso no ano 0</t>
  </si>
  <si>
    <t xml:space="preserve">OPEX fixo anual (€/ano, base 2026)</t>
  </si>
  <si>
    <t xml:space="preserve">Tripulação (folha + encargos)</t>
  </si>
  <si>
    <t xml:space="preserve">€/ano</t>
  </si>
  <si>
    <t xml:space="preserve">link</t>
  </si>
  <si>
    <t xml:space="preserve">Aba Tripulação</t>
  </si>
  <si>
    <t xml:space="preserve">Seguro H&amp;M</t>
  </si>
  <si>
    <t xml:space="preserve">CAPEX × % H&amp;M</t>
  </si>
  <si>
    <t xml:space="preserve">P&amp;I + responsabilidade de passageiros (Atenas/Reg. UE 392/2009) + war/LoH</t>
  </si>
  <si>
    <t xml:space="preserve">P&amp;I ~US$40–80/GT p/ pequenos navios de passageiros + €15–30k demais coberturas</t>
  </si>
  <si>
    <t xml:space="preserve">Manutenção e reparos (exceto docagem)</t>
  </si>
  <si>
    <t xml:space="preserve">2% do valor (navio novo) a 3–5% (10–15 anos) — yatco.com; garantia reduz anos 1–2 do novo</t>
  </si>
  <si>
    <t xml:space="preserve">Gestão técnica / ISM / DOC (terceirizada)</t>
  </si>
  <si>
    <t xml:space="preserve">Navio de passageiros com ISM/ISPS/MLC: €220–350k</t>
  </si>
  <si>
    <t xml:space="preserve">Hibernação de inverno (berço, energia, segurança)</t>
  </si>
  <si>
    <t xml:space="preserve">€40–120k</t>
  </si>
  <si>
    <t xml:space="preserve">Starlink + TI de bordo</t>
  </si>
  <si>
    <t xml:space="preserve">CONFIRMADO (planos)</t>
  </si>
  <si>
    <t xml:space="preserve">Starlink Maritime US$250–2.150/mês por terminal + hardware/gestão</t>
  </si>
  <si>
    <t xml:space="preserve">Licenças, bandeira, classe, auditorias</t>
  </si>
  <si>
    <t xml:space="preserve">Classe €30–60k + bandeira/ISM/PSC/MLC €30–60k</t>
  </si>
  <si>
    <t xml:space="preserve">Reposição de enxoval / FF&amp;E</t>
  </si>
  <si>
    <t xml:space="preserve">€80–150k p/ 72 pax</t>
  </si>
  <si>
    <t xml:space="preserve">Marketing B2B e vendas de charter (feiras, brokers, site)</t>
  </si>
  <si>
    <t xml:space="preserve">Necessário p/ vender as semanas sem QIMO</t>
  </si>
  <si>
    <t xml:space="preserve">G&amp;A da SPV (contabilidade, auditoria, jurídico, diretor local)</t>
  </si>
  <si>
    <t xml:space="preserve">OPEX FIXO TOTAL</t>
  </si>
  <si>
    <t xml:space="preserve">OPEX variável por semana operada</t>
  </si>
  <si>
    <t xml:space="preserve">Consumo de combustível</t>
  </si>
  <si>
    <t xml:space="preserve">t/semana</t>
  </si>
  <si>
    <t xml:space="preserve">60–68 m: 3–4 t/dia (4–6 h navegando/dia + hotel 24h) ≈ 22–28 t/semana</t>
  </si>
  <si>
    <t xml:space="preserve">Alimentação hóspedes</t>
  </si>
  <si>
    <t xml:space="preserve">€/semana</t>
  </si>
  <si>
    <t xml:space="preserve">pax × 7 × ocupação × €/pax-dia</t>
  </si>
  <si>
    <t xml:space="preserve">Consumíveis/lavanderia</t>
  </si>
  <si>
    <t xml:space="preserve">Alimentação tripulação</t>
  </si>
  <si>
    <t xml:space="preserve">Lubrificantes, água, outros</t>
  </si>
  <si>
    <t xml:space="preserve">VARIÁVEL EXCETO COMBUSTÍVEL</t>
  </si>
  <si>
    <t xml:space="preserve">Taxas portuárias, taxa de cruzeiro grega (€20 Santorini/Mykonos) e bebidas = repasse ao fretador (APA), neutros no resultado</t>
  </si>
  <si>
    <t xml:space="preserve">Receita</t>
  </si>
  <si>
    <t xml:space="preserve">Tarifa de charter de mercado (média da temporada, sem IVA/APA)</t>
  </si>
  <si>
    <t xml:space="preserve">CONFIRMADO (faixas)</t>
  </si>
  <si>
    <t xml:space="preserve">Variety Voyager €247.650–342.000/sem (broker); Galileo €92–167k; Harmony V €129–173k; Callisto (34 pax) a partir de €115k; mini-cruisers croatas de 36–38 pax €74–98k. Novo QIMO com prêmio vs. Voyager (2012)</t>
  </si>
  <si>
    <t xml:space="preserve">Preço por passageiro/semana (venda de cabine, líquido de taxas portuárias)</t>
  </si>
  <si>
    <t xml:space="preserve">€/pax</t>
  </si>
  <si>
    <t xml:space="preserve">Variety Grécia US$2.702–4.655; Sea Cloud Spirit US$5.400–5.790; Emerald Azzurra US$6.984–10.821; SeaDream US$11,5–16,5k</t>
  </si>
  <si>
    <t xml:space="preserve">CAPEX de manutenção e docagens (€ base 2026)</t>
  </si>
  <si>
    <t xml:space="preserve">Docagem intermediária — ano 3</t>
  </si>
  <si>
    <t xml:space="preserve">Navio de passageiros de 60 m: €0,3–0,6M (intermediária)</t>
  </si>
  <si>
    <t xml:space="preserve">Docagem especial (5 anos) — ano 5</t>
  </si>
  <si>
    <t xml:space="preserve">€0,6–1,2M (especial, eixos, hélices, pintura, LSA)</t>
  </si>
  <si>
    <t xml:space="preserve">Docagem intermediária — ano 8</t>
  </si>
  <si>
    <t xml:space="preserve">Docagem especial — ano 10</t>
  </si>
  <si>
    <t xml:space="preserve">CAPEX de manutenção recorrente (% do CAPEX/ano)</t>
  </si>
  <si>
    <t xml:space="preserve">Refurb de hotelaria no ano 6 (% do CAPEX)</t>
  </si>
  <si>
    <t xml:space="preserve">Ciclo de renovação de produto de luxo</t>
  </si>
  <si>
    <t xml:space="preserve">Tripulação — quadro, salários e custo anual</t>
  </si>
  <si>
    <t xml:space="preserve">Salários brutos mensais (€). Postos-chave pagos 12 meses × fator de rodízio; sazonais pagos por 'meses sazonais'. Fonte: UKSA Superyacht Salary Guide 2025, Quay Crew, escalas de cruzeiro (Celestyal) — ver Fontes.</t>
  </si>
  <si>
    <t xml:space="preserve">Configuração C — 36 cabines / 72 pax</t>
  </si>
  <si>
    <t xml:space="preserve">Função</t>
  </si>
  <si>
    <t xml:space="preserve">Qtd</t>
  </si>
  <si>
    <t xml:space="preserve">€/mês</t>
  </si>
  <si>
    <t xml:space="preserve">Posto-chave (1=sim)</t>
  </si>
  <si>
    <t xml:space="preserve">Meses pagos</t>
  </si>
  <si>
    <t xml:space="preserve">Custo anual (€)</t>
  </si>
  <si>
    <t xml:space="preserve">Comandante (Master)</t>
  </si>
  <si>
    <t xml:space="preserve">Imediato (Chief Officer)</t>
  </si>
  <si>
    <t xml:space="preserve">2º Oficial / Navegação</t>
  </si>
  <si>
    <t xml:space="preserve">Contramestre (Bosun)</t>
  </si>
  <si>
    <t xml:space="preserve">Marinheiros / tender drivers</t>
  </si>
  <si>
    <t xml:space="preserve">Chefe de Máquinas</t>
  </si>
  <si>
    <t xml:space="preserve">2º Maquinista</t>
  </si>
  <si>
    <t xml:space="preserve">3º Maquinista / ETO</t>
  </si>
  <si>
    <t xml:space="preserve">Hotel Manager</t>
  </si>
  <si>
    <t xml:space="preserve">Recepção / Purser</t>
  </si>
  <si>
    <t xml:space="preserve">Líder de atividades / experiências</t>
  </si>
  <si>
    <t xml:space="preserve">Esportes aquáticos / guia</t>
  </si>
  <si>
    <t xml:space="preserve">Chef executivo</t>
  </si>
  <si>
    <t xml:space="preserve">Sous chef</t>
  </si>
  <si>
    <t xml:space="preserve">Cozinheiros (CDP)</t>
  </si>
  <si>
    <t xml:space="preserve">Auxiliar de cozinha</t>
  </si>
  <si>
    <t xml:space="preserve">Maître / Head waiter</t>
  </si>
  <si>
    <t xml:space="preserve">Garçons</t>
  </si>
  <si>
    <t xml:space="preserve">Bartender / Sommelier</t>
  </si>
  <si>
    <t xml:space="preserve">Governanta (Head housekeeper)</t>
  </si>
  <si>
    <t xml:space="preserve">Camareiros (cabin stewards)</t>
  </si>
  <si>
    <t xml:space="preserve">Lavanderia</t>
  </si>
  <si>
    <t xml:space="preserve">Folha bruta</t>
  </si>
  <si>
    <t xml:space="preserve">Encargos operacionais (viagens, treinamento, uniformes, recrutamento)</t>
  </si>
  <si>
    <t xml:space="preserve">CUSTO ANUAL TOTAL DA TRIPULAÇÃO</t>
  </si>
  <si>
    <t xml:space="preserve">Configuração B — 24 cabines / 48 pax</t>
  </si>
  <si>
    <t xml:space="preserve">Atividades / esportes aquáticos</t>
  </si>
  <si>
    <t xml:space="preserve">Cozinheiro</t>
  </si>
  <si>
    <t xml:space="preserve">Bartender</t>
  </si>
  <si>
    <t xml:space="preserve">Governanta</t>
  </si>
  <si>
    <t xml:space="preserve">Camareiros</t>
  </si>
  <si>
    <t xml:space="preserve">Configuração A — 18–20 cabines / 36–40 pax</t>
  </si>
  <si>
    <t xml:space="preserve">Nota: modelo 'superyacht-style' (tripulação europeia/internacional). Hotelaria em escalas de cruzeiro (Filipinas/Indonésia) reduz a folha de hotel em 30–40%, com risco de nível de serviço. Bandeira grega com tripulação grega: +€0,2–0,4M/ano (NAT 25–30%).</t>
  </si>
  <si>
    <t xml:space="preserve">CAPEX de construção nova — 72 pax / ~60–65 m — três padrões</t>
  </si>
  <si>
    <t xml:space="preserve">Custo-base por região a partir de €/leito (pesquisa de estaleiros). Distribuição percentual = ESTIMATIVA (não há fonte pública de breakdown). Editar células azuis.</t>
  </si>
  <si>
    <t xml:space="preserve">1. Custo de construção (estaleiro turco, base) por padrão</t>
  </si>
  <si>
    <t xml:space="preserve">Item</t>
  </si>
  <si>
    <t xml:space="preserve">Premium funcional</t>
  </si>
  <si>
    <t xml:space="preserve">Luxury boutique</t>
  </si>
  <si>
    <t xml:space="preserve">Ultra-luxury</t>
  </si>
  <si>
    <t xml:space="preserve">% PF</t>
  </si>
  <si>
    <t xml:space="preserve">% LB</t>
  </si>
  <si>
    <t xml:space="preserve">% UL</t>
  </si>
  <si>
    <t xml:space="preserve">Leitos</t>
  </si>
  <si>
    <t xml:space="preserve">Custo-base por leito — referência Holanda (€)</t>
  </si>
  <si>
    <t xml:space="preserve">Faixas: €520–600k / €700–850k / €1,0–1,25M por leito (ESTIMATIVA, mediana dos comparáveis ~€570k)</t>
  </si>
  <si>
    <t xml:space="preserve">Índice de custo da região escolhida (Turquia)</t>
  </si>
  <si>
    <t xml:space="preserve">Turquia 0,65–0,80 vs. Holanda = 1,00 (ver tabela regional abaixo)</t>
  </si>
  <si>
    <t xml:space="preserve">Preço de contrato do estaleiro (antes de contingência)</t>
  </si>
  <si>
    <t xml:space="preserve">Breakdown do preço de contrato</t>
  </si>
  <si>
    <t xml:space="preserve">Projeto naval, engenharia e design de interiores</t>
  </si>
  <si>
    <t xml:space="preserve">Casco e superestrutura</t>
  </si>
  <si>
    <t xml:space="preserve">Propulsão e máquinas (motores, eixos, estabilizadores, thrusters)</t>
  </si>
  <si>
    <t xml:space="preserve">Geradores e sistema elétrico (híbrido opcional)</t>
  </si>
  <si>
    <t xml:space="preserve">HVAC, tubulações, água, esgoto e sistemas</t>
  </si>
  <si>
    <t xml:space="preserve">Interiores e hotelaria (cabines, áreas sociais, marcenaria, teca)</t>
  </si>
  <si>
    <t xml:space="preserve">Cozinha, lavanderia e equipamentos de hotel</t>
  </si>
  <si>
    <t xml:space="preserve">Navegação, comunicações, TI/AV, Starlink</t>
  </si>
  <si>
    <t xml:space="preserve">Segurança: salvatagem (LSA), combate a incêndio, MES</t>
  </si>
  <si>
    <t xml:space="preserve">Classe, bandeira, certificações, provas de mar</t>
  </si>
  <si>
    <t xml:space="preserve">Tenders, Zodiacs, plataforma de marina, water toys</t>
  </si>
  <si>
    <t xml:space="preserve">Enxoval e operacional (OS&amp;E: roupa de cama, louça, uniformes, peças)</t>
  </si>
  <si>
    <t xml:space="preserve">Equipe de supervisão do armador e custos de obra</t>
  </si>
  <si>
    <t xml:space="preserve">Soma (verificação = 100%)</t>
  </si>
  <si>
    <t xml:space="preserve">Contingência (% do contrato)</t>
  </si>
  <si>
    <t xml:space="preserve">Juros pré-entrega, legal, refund guarantee, seguros de construção (%)</t>
  </si>
  <si>
    <t xml:space="preserve">Pré-operacional (recrutamento, treinamento, viagem inaugural, lançamento, capital de giro) (%)</t>
  </si>
  <si>
    <t xml:space="preserve">CUSTO TOTAL ATÉ A ENTRADA EM OPERAÇÃO</t>
  </si>
  <si>
    <t xml:space="preserve">Custo total por leito</t>
  </si>
  <si>
    <t xml:space="preserve">Prazo contrato → entrega (meses)</t>
  </si>
  <si>
    <t xml:space="preserve">22–26</t>
  </si>
  <si>
    <t xml:space="preserve">24–30</t>
  </si>
  <si>
    <t xml:space="preserve">28–36</t>
  </si>
  <si>
    <t xml:space="preserve">Prazo decisão → 1ª temporada (meses)</t>
  </si>
  <si>
    <t xml:space="preserve">30–36</t>
  </si>
  <si>
    <t xml:space="preserve">32–40</t>
  </si>
  <si>
    <t xml:space="preserve">36–44</t>
  </si>
  <si>
    <t xml:space="preserve">2. Custo total por região (Luxury boutique, 72 pax)</t>
  </si>
  <si>
    <t xml:space="preserve">Região</t>
  </si>
  <si>
    <t xml:space="preserve">Índice baixo</t>
  </si>
  <si>
    <t xml:space="preserve">Índice alto</t>
  </si>
  <si>
    <t xml:space="preserve">Custo total baixo</t>
  </si>
  <si>
    <t xml:space="preserve">Custo total alto</t>
  </si>
  <si>
    <t xml:space="preserve">Observação</t>
  </si>
  <si>
    <t xml:space="preserve">Holanda / Noruega / Alemanha</t>
  </si>
  <si>
    <t xml:space="preserve">Referência (De Hoop: Silver Origin €680k/leito)</t>
  </si>
  <si>
    <t xml:space="preserve">Itália</t>
  </si>
  <si>
    <t xml:space="preserve">Mercado premium de superiates</t>
  </si>
  <si>
    <t xml:space="preserve">Espanha / Portugal</t>
  </si>
  <si>
    <t xml:space="preserve">West Sea: €357–400k/leito em navios de 176–196 pax</t>
  </si>
  <si>
    <t xml:space="preserve">Croácia / Grécia</t>
  </si>
  <si>
    <t xml:space="preserve">Brodosplit (risco financeiro); Voyager feito em Perama</t>
  </si>
  <si>
    <t xml:space="preserve">Turquia</t>
  </si>
  <si>
    <t xml:space="preserve">Mão de obra ~40% da europeia; equipamentos a preço global</t>
  </si>
  <si>
    <t xml:space="preserve">Vietnã / China</t>
  </si>
  <si>
    <t xml:space="preserve">+€0,5–1M de viagem de entrega até o Med</t>
  </si>
  <si>
    <t xml:space="preserve">Modelo 3 — Charter de terceiros: custo efetivo para a QIMO</t>
  </si>
  <si>
    <t xml:space="preserve">Tarifas CONFIRMADAS por faixas (brokers/Variety). APA, IVA e gorjetas = práticas de mercado confirmadas. Excursões = ESTIMATIVA.</t>
  </si>
  <si>
    <t xml:space="preserve">Navio 72 pax / 36 cab (ex.: Variety Voyager)</t>
  </si>
  <si>
    <t xml:space="preserve">Componente</t>
  </si>
  <si>
    <t xml:space="preserve">Premium</t>
  </si>
  <si>
    <t xml:space="preserve">Cabines / passageiros</t>
  </si>
  <si>
    <t xml:space="preserve">Tarifa de full charter (€/semana)</t>
  </si>
  <si>
    <t xml:space="preserve">Broker: €247.650 (baixa) – €342.000 (alta) + despesas; Variety direto via Goolets: US$213k (jul/2025)</t>
  </si>
  <si>
    <t xml:space="preserve">APA — provisões, bebidas, combustível extra, taxas portuárias (% da tarifa)</t>
  </si>
  <si>
    <t xml:space="preserve">30–40% da tarifa (CONFIRMADO, prática de broker)</t>
  </si>
  <si>
    <t xml:space="preserve">IVA sobre charter (Grécia efetivo)</t>
  </si>
  <si>
    <t xml:space="preserve">Grécia ~12% efetivo; Croácia 13%; Itália 22%</t>
  </si>
  <si>
    <t xml:space="preserve">Gorjetas da tripulação (% da tarifa)</t>
  </si>
  <si>
    <t xml:space="preserve">Diretriz MYBA/brokers: 5–15%, padrão 10%</t>
  </si>
  <si>
    <t xml:space="preserve">Excursões/experiências em terra (€/pax/semana)</t>
  </si>
  <si>
    <t xml:space="preserve">ESTIMATIVA: 5 dias × €60–140/pax</t>
  </si>
  <si>
    <t xml:space="preserve">Posicionamento / mínimos de consumo (€/semana)</t>
  </si>
  <si>
    <t xml:space="preserve">Normalmente zero dentro da área de operação do navio; cobrado fora dela</t>
  </si>
  <si>
    <t xml:space="preserve">CUSTO DO NAVIO (tarifa + APA + IVA)</t>
  </si>
  <si>
    <t xml:space="preserve">CUSTO TOTAL DA SEMANA (+ gorjetas + excursões)</t>
  </si>
  <si>
    <t xml:space="preserve">…por cabine</t>
  </si>
  <si>
    <t xml:space="preserve">…por passageiro</t>
  </si>
  <si>
    <t xml:space="preserve">Navio ~48–49 pax / 24 cab (ex.: Galileo, Harmony V)</t>
  </si>
  <si>
    <t xml:space="preserve">Galileo €92k (mar–abr) / €121,9k / €166,7k (mai–jun, set); Harmony V €129,4–172,9k</t>
  </si>
  <si>
    <t xml:space="preserve">Navio ~36–40 pax / 18–20 cab (Croácia / Callisto)</t>
  </si>
  <si>
    <t xml:space="preserve">Karizma €84–95k; Lastavica €76–87k; Callisto a partir de €115k</t>
  </si>
  <si>
    <t xml:space="preserve">Nota: nas comparações Buy × Build × Charter usa-se somente a TARIFA (sem APA/IVA/gorjetas/excursões), porque esses itens existem igualmente com navio próprio (repasse) — comparação justa entre os modelos.</t>
  </si>
  <si>
    <t xml:space="preserve">Projeção de 10 anos — 6 opções × 3 cenários (desalavancado)</t>
  </si>
  <si>
    <t xml:space="preserve">Colunas: anos -2 e -1 = construção; 0 = entrega/compra; 1–10 = operação. Valores nominais. Todas as linhas são fórmulas ligadas às Premissas.</t>
  </si>
  <si>
    <t xml:space="preserve">C · 36 cab/72 pax · NOVO — cenário Conservador</t>
  </si>
  <si>
    <t xml:space="preserve">Ano</t>
  </si>
  <si>
    <t xml:space="preserve">Semanas operadas</t>
  </si>
  <si>
    <t xml:space="preserve">  Semanas QIMO</t>
  </si>
  <si>
    <t xml:space="preserve">  Semanas venda de cabines</t>
  </si>
  <si>
    <t xml:space="preserve">  Semanas charter terceiros</t>
  </si>
  <si>
    <t xml:space="preserve">Índice de tarifa</t>
  </si>
  <si>
    <t xml:space="preserve">Índice de custo</t>
  </si>
  <si>
    <t xml:space="preserve">Receita — QIMO (preço de transferência = mercado)</t>
  </si>
  <si>
    <t xml:space="preserve">Receita — charter de terceiros (líq. comissão)</t>
  </si>
  <si>
    <t xml:space="preserve">Receita — venda de cabines (líq. comissão)</t>
  </si>
  <si>
    <t xml:space="preserve">Receita líquida a bordo</t>
  </si>
  <si>
    <t xml:space="preserve">RECEITA TOTAL</t>
  </si>
  <si>
    <t xml:space="preserve">Custos variáveis (combustível, alimentação, consumíveis)</t>
  </si>
  <si>
    <t xml:space="preserve">Custos fixos (tripulação, seguros, manutenção, gestão…)</t>
  </si>
  <si>
    <t xml:space="preserve">EBITDA</t>
  </si>
  <si>
    <t xml:space="preserve">Margem EBITDA</t>
  </si>
  <si>
    <t xml:space="preserve">Depreciação (até o valor residual)</t>
  </si>
  <si>
    <t xml:space="preserve">EBIT</t>
  </si>
  <si>
    <t xml:space="preserve">Impostos (CFC Brasil, sobre EBIT positivo)</t>
  </si>
  <si>
    <t xml:space="preserve">Docagens (dry dock)</t>
  </si>
  <si>
    <t xml:space="preserve">CAPEX de manutenção + refurb</t>
  </si>
  <si>
    <t xml:space="preserve">CAPEX inicial</t>
  </si>
  <si>
    <t xml:space="preserve">Valor residual (venda no ano 10)</t>
  </si>
  <si>
    <t xml:space="preserve">FLUXO DE CAIXA LIVRE (desalavancado)</t>
  </si>
  <si>
    <t xml:space="preserve">FCL acumulado sem valor residual</t>
  </si>
  <si>
    <t xml:space="preserve">aux. payback</t>
  </si>
  <si>
    <t xml:space="preserve">TIR do projeto (10 anos, desalavancada)</t>
  </si>
  <si>
    <t xml:space="preserve">VPL @ hurdle (data de entrega, ano 0)</t>
  </si>
  <si>
    <t xml:space="preserve">Payback (anos após entrega, sem residual)</t>
  </si>
  <si>
    <t xml:space="preserve">ROI em 10 anos (ganho líquido / investimento)</t>
  </si>
  <si>
    <t xml:space="preserve">ROIC médio (NOPAT médio / capital investido)</t>
  </si>
  <si>
    <t xml:space="preserve">EBITDA ano 3 (regime)</t>
  </si>
  <si>
    <t xml:space="preserve">Receita ano 3</t>
  </si>
  <si>
    <t xml:space="preserve">Margem EBITDA ano 3</t>
  </si>
  <si>
    <t xml:space="preserve">OPEX total ano 3</t>
  </si>
  <si>
    <t xml:space="preserve">Break-even EBITDA (semanas/ano, ano 3)</t>
  </si>
  <si>
    <t xml:space="preserve">CAPEX total</t>
  </si>
  <si>
    <t xml:space="preserve">Valor residual estimado no ano 10</t>
  </si>
  <si>
    <t xml:space="preserve">C · 36 cab/72 pax · NOVO — cenário Base</t>
  </si>
  <si>
    <t xml:space="preserve">C · 36 cab/72 pax · NOVO — cenário Otimista</t>
  </si>
  <si>
    <t xml:space="preserve">C · 36 cab/72 pax · USADO — cenário Conservador</t>
  </si>
  <si>
    <t xml:space="preserve">C · 36 cab/72 pax · USADO — cenário Base</t>
  </si>
  <si>
    <t xml:space="preserve">C · 36 cab/72 pax · USADO — cenário Otimista</t>
  </si>
  <si>
    <t xml:space="preserve">B · 24 cab/48 pax · NOVO — cenário Conservador</t>
  </si>
  <si>
    <t xml:space="preserve">B · 24 cab/48 pax · NOVO — cenário Base</t>
  </si>
  <si>
    <t xml:space="preserve">B · 24 cab/48 pax · NOVO — cenário Otimista</t>
  </si>
  <si>
    <t xml:space="preserve">B · 24 cab/48 pax · USADO — cenário Conservador</t>
  </si>
  <si>
    <t xml:space="preserve">B · 24 cab/48 pax · USADO — cenário Base</t>
  </si>
  <si>
    <t xml:space="preserve">B · 24 cab/48 pax · USADO — cenário Otimista</t>
  </si>
  <si>
    <t xml:space="preserve">A · 20 cab/40 pax · NOVO — cenário Conservador</t>
  </si>
  <si>
    <t xml:space="preserve">A · 20 cab/40 pax · NOVO — cenário Base</t>
  </si>
  <si>
    <t xml:space="preserve">A · 20 cab/40 pax · NOVO — cenário Otimista</t>
  </si>
  <si>
    <t xml:space="preserve">A · 18 cab/36 pax · USADO — cenário Conservador</t>
  </si>
  <si>
    <t xml:space="preserve">A · 18 cab/36 pax · USADO — cenário Base</t>
  </si>
  <si>
    <t xml:space="preserve">A · 18 cab/36 pax · USADO — cenário Otimista</t>
  </si>
  <si>
    <t xml:space="preserve">Sensibilidade à utilização — 10 a 35 semanas/ano (cenário Base, ano de regime, € de 2026)</t>
  </si>
  <si>
    <t xml:space="preserve">TIR aproximada via RATE (fluxo constante + residual) — para análise rápida; a projeção completa está na aba Projecao.</t>
  </si>
  <si>
    <t xml:space="preserve">Semanas/ano</t>
  </si>
  <si>
    <t xml:space="preserve">Semanas</t>
  </si>
  <si>
    <t xml:space="preserve">OPEX</t>
  </si>
  <si>
    <t xml:space="preserve">Margem</t>
  </si>
  <si>
    <t xml:space="preserve">FCL anual</t>
  </si>
  <si>
    <t xml:space="preserve">TIR ~10a</t>
  </si>
  <si>
    <t xml:space="preserve">Custo próprio/sem.</t>
  </si>
  <si>
    <t xml:space="preserve">Tarifa charter/sem.</t>
  </si>
  <si>
    <t xml:space="preserve">10 semanas</t>
  </si>
  <si>
    <t xml:space="preserve">15 semanas</t>
  </si>
  <si>
    <t xml:space="preserve">20 semanas</t>
  </si>
  <si>
    <t xml:space="preserve">25 semanas</t>
  </si>
  <si>
    <t xml:space="preserve">30 semanas</t>
  </si>
  <si>
    <t xml:space="preserve">35 semanas</t>
  </si>
  <si>
    <t xml:space="preserve">Custo próprio/semana = (OPEX + custo de capital anual: anuidade do CAPEX líquido do residual descontado @ hurdle + CAPEX de manutenção médio) ÷ semanas. Se &gt; tarifa de charter, fretar é mais barato.</t>
  </si>
  <si>
    <t xml:space="preserve">Buy × Build × Charter — ponto de equilíbrio entre possuir e fretar</t>
  </si>
  <si>
    <t xml:space="preserve">Semanas a partir das quais possuir fica mais barato que fretar: w* = (OPEX fixo + custo anual de capital) ÷ (tarifa de charter − custo variável por semana). Cenário Base.</t>
  </si>
  <si>
    <t xml:space="preserve">1. Crossover por opção (cenário Base)</t>
  </si>
  <si>
    <t xml:space="preserve">Métrica</t>
  </si>
  <si>
    <t xml:space="preserve">Valor residual ano 10 (% CAPEX)</t>
  </si>
  <si>
    <t xml:space="preserve">Fator de recuperação de capital (hurdle, 10 anos)</t>
  </si>
  <si>
    <t xml:space="preserve">CAPEX de manutenção + docagens médios/ano</t>
  </si>
  <si>
    <t xml:space="preserve">Custo anual de capital (anuidade + manutenção)</t>
  </si>
  <si>
    <t xml:space="preserve">OPEX fixo anual</t>
  </si>
  <si>
    <t xml:space="preserve">Custo variável por semana</t>
  </si>
  <si>
    <t xml:space="preserve">Tarifa de charter de mercado equivalente (€/semana)</t>
  </si>
  <si>
    <t xml:space="preserve">SEMANAS PARA POSSUIR = FRETAR (w*)</t>
  </si>
  <si>
    <t xml:space="preserve">Semanas p/ break-even de EBITDA (sem custo de capital)</t>
  </si>
  <si>
    <t xml:space="preserve">Custo próprio por semana @ 26 semanas</t>
  </si>
  <si>
    <t xml:space="preserve">Custo próprio vs. tarifa @ 26 semanas</t>
  </si>
  <si>
    <t xml:space="preserve">Custo próprio por semana @ 30 semanas (máx. temporada Med)</t>
  </si>
  <si>
    <t xml:space="preserve">Custo próprio vs. tarifa @ 30 semanas</t>
  </si>
  <si>
    <t xml:space="preserve">Fator de anuidade (10 anos @ hurdle)</t>
  </si>
  <si>
    <t xml:space="preserve">CAPEX máximo justificável @ 26 sem. (VPL=0, aprox.)</t>
  </si>
  <si>
    <t xml:space="preserve">CAPEX máximo justificável @ 30 sem. (VPL=0, aprox.)</t>
  </si>
  <si>
    <t xml:space="preserve">Aprox.: considera tarifa de mercado em todas as semanas (sem comissão) e imposto sobre EBITDA (conservador).</t>
  </si>
  <si>
    <t xml:space="preserve">2. Comparativo executivo (cenário Base, 72 pax onde aplicável)</t>
  </si>
  <si>
    <t xml:space="preserve">Critério</t>
  </si>
  <si>
    <t xml:space="preserve">Comprar usado (C_USADO)</t>
  </si>
  <si>
    <t xml:space="preserve">Construir novo (C_NOVO)</t>
  </si>
  <si>
    <t xml:space="preserve">Charter (72 pax)</t>
  </si>
  <si>
    <t xml:space="preserve">Comprar usado 48 pax (B_USADO)</t>
  </si>
  <si>
    <t xml:space="preserve">Investimento inicial</t>
  </si>
  <si>
    <t xml:space="preserve">Tempo até operação</t>
  </si>
  <si>
    <t xml:space="preserve">9–15 meses</t>
  </si>
  <si>
    <t xml:space="preserve">30–40 meses</t>
  </si>
  <si>
    <t xml:space="preserve">Imediato (reserva 12–18 meses antes)</t>
  </si>
  <si>
    <t xml:space="preserve">6–12 meses</t>
  </si>
  <si>
    <t xml:space="preserve">Risco</t>
  </si>
  <si>
    <t xml:space="preserve">Médio-alto (casco, retrofit, ativo)</t>
  </si>
  <si>
    <t xml:space="preserve">Alto (estaleiro, prazo, capital)</t>
  </si>
  <si>
    <t xml:space="preserve">Baixo (disponibilidade/preço)</t>
  </si>
  <si>
    <t xml:space="preserve">Médio</t>
  </si>
  <si>
    <t xml:space="preserve">OPEX ano 3</t>
  </si>
  <si>
    <t xml:space="preserve">Embutido na tarifa</t>
  </si>
  <si>
    <t xml:space="preserve">Flexibilidade</t>
  </si>
  <si>
    <t xml:space="preserve">Baixa</t>
  </si>
  <si>
    <t xml:space="preserve">Muito baixa</t>
  </si>
  <si>
    <t xml:space="preserve">Alta (navio, data, destino)</t>
  </si>
  <si>
    <t xml:space="preserve">Controle do produto</t>
  </si>
  <si>
    <t xml:space="preserve">Alto</t>
  </si>
  <si>
    <t xml:space="preserve">Total</t>
  </si>
  <si>
    <t xml:space="preserve">Médio (co-branding)</t>
  </si>
  <si>
    <t xml:space="preserve">Potencial de receita externa</t>
  </si>
  <si>
    <t xml:space="preserve">Sim (charter/cabines)</t>
  </si>
  <si>
    <t xml:space="preserve">Não</t>
  </si>
  <si>
    <t xml:space="preserve">Sim</t>
  </si>
  <si>
    <t xml:space="preserve">Valor residual ano 10</t>
  </si>
  <si>
    <t xml:space="preserve">Break-even EBITDA (semanas/ano)</t>
  </si>
  <si>
    <t xml:space="preserve">n/a</t>
  </si>
  <si>
    <t xml:space="preserve">Semanas p/ possuir = fretar (w*)</t>
  </si>
  <si>
    <t xml:space="preserve">referência</t>
  </si>
  <si>
    <t xml:space="preserve">ROI 10 anos</t>
  </si>
  <si>
    <t xml:space="preserve">TIR 10 anos (desalavancada)</t>
  </si>
  <si>
    <t xml:space="preserve">VPL @ hurdle</t>
  </si>
  <si>
    <t xml:space="preserve">Financiamento — impacto da alavancagem (cenário Base)</t>
  </si>
  <si>
    <t xml:space="preserve">Dívida sacada na entrega (ano 0), amortização linear com balloon no ano 10; juros sobre saldo inicial. Benefício fiscal dos juros considerado (×34%) limitado ao EBIT positivo.</t>
  </si>
  <si>
    <t xml:space="preserve">C · 36 cab/72 pax · USADO — 100% equity / 0% dívida</t>
  </si>
  <si>
    <t xml:space="preserve">LTV (dívida / CAPEX)</t>
  </si>
  <si>
    <t xml:space="preserve">FCL desalavancado (link Projecao)</t>
  </si>
  <si>
    <t xml:space="preserve">Captação da dívida</t>
  </si>
  <si>
    <t xml:space="preserve">Saldo inicial da dívida</t>
  </si>
  <si>
    <t xml:space="preserve">Juros</t>
  </si>
  <si>
    <t xml:space="preserve">Amortização (inclui balloon no ano 10)</t>
  </si>
  <si>
    <t xml:space="preserve">Benefício fiscal dos juros</t>
  </si>
  <si>
    <t xml:space="preserve">FLUXO DO ACIONISTA</t>
  </si>
  <si>
    <t xml:space="preserve">DSCR (EBITDA − impostos) / serviço da dívida (sem balloon)</t>
  </si>
  <si>
    <t xml:space="preserve">Equity investido (pico)</t>
  </si>
  <si>
    <t xml:space="preserve">TIR do acionista</t>
  </si>
  <si>
    <t xml:space="preserve">DSCR mínimo (anos 1–10)</t>
  </si>
  <si>
    <t xml:space="preserve">Serviço da dívida ano 2 (juros + amortização)</t>
  </si>
  <si>
    <t xml:space="preserve">Pior FCL do acionista em operação (anos 1–9)</t>
  </si>
  <si>
    <t xml:space="preserve">C · 36 cab/72 pax · USADO — 50% equity / 50% dívida</t>
  </si>
  <si>
    <t xml:space="preserve">C · 36 cab/72 pax · USADO — 30% equity / 70% dívida</t>
  </si>
  <si>
    <t xml:space="preserve">C · 36 cab/72 pax · NOVO — 100% equity / 0% dívida</t>
  </si>
  <si>
    <t xml:space="preserve">C · 36 cab/72 pax · NOVO — 50% equity / 50% dívida</t>
  </si>
  <si>
    <t xml:space="preserve">C · 36 cab/72 pax · NOVO — 30% equity / 70% dívida</t>
  </si>
  <si>
    <t xml:space="preserve">B · 24 cab/48 pax · USADO — 100% equity / 0% dívida</t>
  </si>
  <si>
    <t xml:space="preserve">B · 24 cab/48 pax · USADO — 50% equity / 50% dívida</t>
  </si>
  <si>
    <t xml:space="preserve">B · 24 cab/48 pax · USADO — 30% equity / 70% dívida</t>
  </si>
  <si>
    <t xml:space="preserve">Fontes principais (detalhe completo nos dossiês de pesquisa .md)</t>
  </si>
  <si>
    <t xml:space="preserve">Variety Voyager — especificações e custo €29M (2012)</t>
  </si>
  <si>
    <t xml:space="preserve">https://cruiseindustrynews.com/cruise-news/2012/06/variety-voyager-joins-preferred-hotels-a-resorts-collection ; https://www.cruisemapper.com/ships/Variety-Voyager-1344 ; https://www.superyachts.com/fleet/variety-voyager-9170/specs/</t>
  </si>
  <si>
    <t xml:space="preserve">Tarifas de charter Variety / mini-cruisers</t>
  </si>
  <si>
    <t xml:space="preserve">Ver dossiê research_charter.md (Goolets, 12knots, brokers de charter, Variety Cruises)</t>
  </si>
  <si>
    <t xml:space="preserve">Anúncios de navios usados</t>
  </si>
  <si>
    <t xml:space="preserve">Ver Vessel Market Scan (GRS/ShipSelector #1048634, #1064418, #1091239; Northrop &amp; Johnson — Running on Waves; Apollo Duck)</t>
  </si>
  <si>
    <t xml:space="preserve">Preços de construção nova</t>
  </si>
  <si>
    <t xml:space="preserve">Silver Origin (cruisemapper), Coral Adventurer, Hondius (croatiaweek), Ultramarine (intellinews), World Explorer (tradewinds), NG Endurance (Lindblad 10-K)</t>
  </si>
  <si>
    <t xml:space="preserve">Salários de tripulação</t>
  </si>
  <si>
    <t xml:space="preserve">https://uksa.org/news-and-guides/superyacht-salary-guide/ ; https://www.yachtbuyer.com/en-us/advice/how-much-does-a-yacht-crew-cost</t>
  </si>
  <si>
    <t xml:space="preserve">Combustível MGO Pireu</t>
  </si>
  <si>
    <t xml:space="preserve">https://shipandbunker.com/prices/emea/medabs/gr-pir-piraeus</t>
  </si>
  <si>
    <t xml:space="preserve">Taxa de cruzeiro grega</t>
  </si>
  <si>
    <t xml:space="preserve">https://greekherald.com.au/?p=185728 ; https://eurofast.eu/greece-introduces-cruise-passenger-tax-to-address-overtourism/</t>
  </si>
  <si>
    <t xml:space="preserve">P&amp;I / seguros</t>
  </si>
  <si>
    <t xml:space="preserve">https://www.hellenicshippingnews.com/?p=1035333 ; https://www.oceanindependence.com/articles/how-much-does-a-superyacht-cost/</t>
  </si>
  <si>
    <t xml:space="preserve">Financiamento marítimo Grécia 2025</t>
  </si>
  <si>
    <t xml:space="preserve">https://www.hellenicshippingnews.com/greek-shipping-financing-grew-by-11-5-in-2025-now-standing-at-almost-60-billion-petrofin-research-shows/</t>
  </si>
  <si>
    <t xml:space="preserve">ECA (Lindblad/Ulstein)</t>
  </si>
  <si>
    <t xml:space="preserve">https://www.sec.gov/Archives/edgar/data/1512499/000143774919006986/lindb20190411_8k.htm</t>
  </si>
  <si>
    <t xml:space="preserve">EURIBOR / SOFR</t>
  </si>
  <si>
    <t xml:space="preserve">https://www.global-rates.com/en/interest-rates/euribor/historical/2026/ ; https://www.sofrrate.com/sofr-rate/2026-10</t>
  </si>
  <si>
    <t xml:space="preserve">CFC Brasil</t>
  </si>
  <si>
    <t xml:space="preserve">https://www.internationaltaxreview.com/article/b1f9jpywnh5qwh/brazil-new-regulations-for-brazilian-cfc-rules</t>
  </si>
  <si>
    <t xml:space="preserve">Tonnage tax Malta</t>
  </si>
  <si>
    <t xml:space="preserve">https://factsheets.ccmalta.com/tax-of-shipping-activities-malta-tonnage-tax.pdf</t>
  </si>
  <si>
    <t xml:space="preserve">Registro MAR (Madeira)</t>
  </si>
  <si>
    <t xml:space="preserve">https://mondaq.com/marine-shipping/741390/</t>
  </si>
  <si>
    <t xml:space="preserve">Câmbio</t>
  </si>
  <si>
    <t xml:space="preserve">https://www.poundsterlinglive.com/history/EUR-USD-2026 ; https://longforecast.com/eur-to-brl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</si>
</sst>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€#,##0.0,,\M;&quot;(€&quot;#,##0.0,,&quot;M)&quot;;\-"/>
    <numFmt numFmtId="166" formatCode="0.0%;\(0.0%\);\-"/>
    <numFmt numFmtId="167" formatCode="0.0"/>
    <numFmt numFmtId="168" formatCode="#,##0.0;\(#,##0.0\);\-"/>
    <numFmt numFmtId="169" formatCode="\€#,##0;&quot;(€&quot;#,##0\);\-"/>
    <numFmt numFmtId="170" formatCode="0.00\x"/>
    <numFmt numFmtId="171" formatCode="0.00"/>
    <numFmt numFmtId="172" formatCode="0.00%"/>
    <numFmt numFmtId="173" formatCode="#,##0;\(#,##0\);\-"/>
    <numFmt numFmtId="174" formatCode="0.0%"/>
    <numFmt numFmtId="175" formatCode="0"/>
    <numFmt numFmtId="176" formatCode="0.000"/>
    <numFmt numFmtId="177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B3C4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DCE8E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8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3"/>
      <c r="C5" s="3"/>
      <c r="D5" s="3"/>
      <c r="E5" s="3"/>
      <c r="F5" s="3"/>
    </row>
    <row r="6" customFormat="false" ht="15" hidden="false" customHeight="false" outlineLevel="0" collapsed="false">
      <c r="A6" s="5" t="s">
        <v>3</v>
      </c>
      <c r="B6" s="3"/>
      <c r="C6" s="3"/>
      <c r="D6" s="3"/>
      <c r="E6" s="3"/>
      <c r="F6" s="3"/>
    </row>
    <row r="7" customFormat="false" ht="15" hidden="false" customHeight="false" outlineLevel="0" collapsed="false">
      <c r="A7" s="4" t="s">
        <v>4</v>
      </c>
      <c r="B7" s="3"/>
      <c r="C7" s="3"/>
      <c r="D7" s="3"/>
      <c r="E7" s="3"/>
      <c r="F7" s="3"/>
    </row>
    <row r="8" customFormat="false" ht="15" hidden="false" customHeight="false" outlineLevel="0" collapsed="false">
      <c r="A8" s="4" t="s">
        <v>5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4" t="s">
        <v>6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4"/>
      <c r="B10" s="3"/>
      <c r="C10" s="3"/>
      <c r="D10" s="3"/>
      <c r="E10" s="3"/>
      <c r="F10" s="3"/>
    </row>
    <row r="11" customFormat="false" ht="15" hidden="false" customHeight="false" outlineLevel="0" collapsed="false">
      <c r="A11" s="5" t="s">
        <v>7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4" t="s">
        <v>8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4" t="s">
        <v>9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10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4" t="s">
        <v>11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4" t="s">
        <v>12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4" t="s">
        <v>13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4" t="s">
        <v>14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4" t="s">
        <v>15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4" t="s">
        <v>16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17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4"/>
      <c r="B22" s="3"/>
      <c r="C22" s="3"/>
      <c r="D22" s="3"/>
      <c r="E22" s="3"/>
      <c r="F22" s="3"/>
    </row>
    <row r="23" customFormat="false" ht="15" hidden="false" customHeight="false" outlineLevel="0" collapsed="false">
      <c r="A23" s="5" t="s">
        <v>18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4" t="s">
        <v>19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4" t="s">
        <v>20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4"/>
      <c r="B26" s="3"/>
      <c r="C26" s="3"/>
      <c r="D26" s="3"/>
      <c r="E26" s="3"/>
      <c r="F26" s="3"/>
    </row>
    <row r="27" customFormat="false" ht="15" hidden="false" customHeight="false" outlineLevel="0" collapsed="false">
      <c r="A27" s="5" t="s">
        <v>21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4" t="s">
        <v>22</v>
      </c>
      <c r="B28" s="3"/>
      <c r="C28" s="3"/>
      <c r="D28" s="3"/>
      <c r="E28" s="3"/>
      <c r="F28" s="3"/>
    </row>
    <row r="29" customFormat="false" ht="15" hidden="false" customHeight="false" outlineLevel="0" collapsed="false">
      <c r="A29" s="4" t="s">
        <v>23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4" t="s">
        <v>24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4" t="s">
        <v>25</v>
      </c>
      <c r="B31" s="3"/>
      <c r="C31" s="3"/>
      <c r="D31" s="3"/>
      <c r="E31" s="3"/>
      <c r="F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6" t="s">
        <v>27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7" t="s">
        <v>28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3.8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  <c r="J5" s="9" t="s">
        <v>38</v>
      </c>
    </row>
    <row r="6" customFormat="false" ht="15" hidden="false" customHeight="false" outlineLevel="0" collapsed="false">
      <c r="A6" s="4" t="s">
        <v>39</v>
      </c>
      <c r="B6" s="10" t="n">
        <f aca="false">Projecao!$C$41</f>
        <v>47709000</v>
      </c>
      <c r="C6" s="10" t="n">
        <f aca="false">Projecao!$C$37</f>
        <v>5039636.319</v>
      </c>
      <c r="D6" s="10" t="n">
        <f aca="false">Projecao!$C$36</f>
        <v>-414300.376010435</v>
      </c>
      <c r="E6" s="11" t="n">
        <f aca="false">Projecao!$C$38</f>
        <v>-0.0822083876267967</v>
      </c>
      <c r="F6" s="11" t="n">
        <f aca="false">Projecao!$C$31</f>
        <v>-0.119336939559707</v>
      </c>
      <c r="G6" s="10" t="n">
        <f aca="false">Projecao!$C$32</f>
        <v>-50614480.1908834</v>
      </c>
      <c r="H6" s="12" t="str">
        <f aca="false">Projecao!$C$33</f>
        <v>&gt; 10</v>
      </c>
      <c r="I6" s="13" t="n">
        <f aca="false">Projecao!$C$40</f>
        <v>22.3362818048308</v>
      </c>
      <c r="J6" s="11" t="n">
        <f aca="false">Projecao!$C$35</f>
        <v>-0.0446530269162887</v>
      </c>
    </row>
    <row r="7" customFormat="false" ht="15" hidden="false" customHeight="false" outlineLevel="0" collapsed="false">
      <c r="A7" s="14" t="s">
        <v>40</v>
      </c>
      <c r="B7" s="15" t="n">
        <f aca="false">Projecao!$C$82</f>
        <v>47709000</v>
      </c>
      <c r="C7" s="15" t="n">
        <f aca="false">Projecao!$C$78</f>
        <v>7463640</v>
      </c>
      <c r="D7" s="15" t="n">
        <f aca="false">Projecao!$C$77</f>
        <v>2338197.22596522</v>
      </c>
      <c r="E7" s="16" t="n">
        <f aca="false">Projecao!$C$79</f>
        <v>0.313278403830466</v>
      </c>
      <c r="F7" s="16" t="n">
        <f aca="false">Projecao!$C$72</f>
        <v>-0.0174193225064716</v>
      </c>
      <c r="G7" s="15" t="n">
        <f aca="false">Projecao!$C$73</f>
        <v>-31517619.3126261</v>
      </c>
      <c r="H7" s="17" t="str">
        <f aca="false">Projecao!$C$74</f>
        <v>&gt; 10</v>
      </c>
      <c r="I7" s="18" t="n">
        <f aca="false">Projecao!$C$81</f>
        <v>15.7638714728215</v>
      </c>
      <c r="J7" s="16" t="n">
        <f aca="false">Projecao!$C$76</f>
        <v>0.00265386780316455</v>
      </c>
    </row>
    <row r="8" customFormat="false" ht="15" hidden="false" customHeight="false" outlineLevel="0" collapsed="false">
      <c r="A8" s="4" t="s">
        <v>41</v>
      </c>
      <c r="B8" s="10" t="n">
        <f aca="false">Projecao!$C$123</f>
        <v>47709000</v>
      </c>
      <c r="C8" s="10" t="n">
        <f aca="false">Projecao!$C$119</f>
        <v>9746923.809</v>
      </c>
      <c r="D8" s="10" t="n">
        <f aca="false">Projecao!$C$118</f>
        <v>4819256.21779217</v>
      </c>
      <c r="E8" s="11" t="n">
        <f aca="false">Projecao!$C$120</f>
        <v>0.494438687757283</v>
      </c>
      <c r="F8" s="11" t="n">
        <f aca="false">Projecao!$C$113</f>
        <v>0.0322599733055549</v>
      </c>
      <c r="G8" s="10" t="n">
        <f aca="false">Projecao!$C$114</f>
        <v>-19656752.0585028</v>
      </c>
      <c r="H8" s="12" t="str">
        <f aca="false">Projecao!$C$115</f>
        <v>&gt; 10</v>
      </c>
      <c r="I8" s="13" t="n">
        <f aca="false">Projecao!$C$122</f>
        <v>12.4543547000742</v>
      </c>
      <c r="J8" s="11" t="n">
        <f aca="false">Projecao!$C$117</f>
        <v>0.0465189128088384</v>
      </c>
    </row>
    <row r="9" customFormat="false" ht="15" hidden="false" customHeight="false" outlineLevel="0" collapsed="false">
      <c r="A9" s="4" t="s">
        <v>42</v>
      </c>
      <c r="B9" s="10" t="n">
        <f aca="false">Projecao!$C$164</f>
        <v>21400000</v>
      </c>
      <c r="C9" s="10" t="n">
        <f aca="false">Projecao!$C$160</f>
        <v>4553087.679</v>
      </c>
      <c r="D9" s="10" t="n">
        <f aca="false">Projecao!$C$159</f>
        <v>-970317.596730436</v>
      </c>
      <c r="E9" s="11" t="n">
        <f aca="false">Projecao!$C$161</f>
        <v>-0.213111994571461</v>
      </c>
      <c r="F9" s="11" t="str">
        <f aca="false">Projecao!$C$154</f>
        <v>negativa</v>
      </c>
      <c r="G9" s="10" t="n">
        <f aca="false">Projecao!$C$155</f>
        <v>-29267829.2357576</v>
      </c>
      <c r="H9" s="12" t="str">
        <f aca="false">Projecao!$C$156</f>
        <v>&gt; 10</v>
      </c>
      <c r="I9" s="13" t="n">
        <f aca="false">Projecao!$C$163</f>
        <v>26.3417051565556</v>
      </c>
      <c r="J9" s="11" t="n">
        <f aca="false">Projecao!$C$158</f>
        <v>-0.0761848002083827</v>
      </c>
    </row>
    <row r="10" customFormat="false" ht="15" hidden="false" customHeight="false" outlineLevel="0" collapsed="false">
      <c r="A10" s="14" t="s">
        <v>43</v>
      </c>
      <c r="B10" s="15" t="n">
        <f aca="false">Projecao!$C$205</f>
        <v>21400000</v>
      </c>
      <c r="C10" s="15" t="n">
        <f aca="false">Projecao!$C$201</f>
        <v>6739969.5</v>
      </c>
      <c r="D10" s="15" t="n">
        <f aca="false">Projecao!$C$200</f>
        <v>1551373.47076522</v>
      </c>
      <c r="E10" s="16" t="n">
        <f aca="false">Projecao!$C$202</f>
        <v>0.230175147048546</v>
      </c>
      <c r="F10" s="16" t="n">
        <f aca="false">Projecao!$C$195</f>
        <v>-0.0269687823357965</v>
      </c>
      <c r="G10" s="15" t="n">
        <f aca="false">Projecao!$C$196</f>
        <v>-13109787.873133</v>
      </c>
      <c r="H10" s="17" t="str">
        <f aca="false">Projecao!$C$197</f>
        <v>&gt; 10</v>
      </c>
      <c r="I10" s="18" t="n">
        <f aca="false">Projecao!$C$204</f>
        <v>18.2660427110212</v>
      </c>
      <c r="J10" s="16" t="n">
        <f aca="false">Projecao!$C$199</f>
        <v>0.013531768310467</v>
      </c>
    </row>
    <row r="11" customFormat="false" ht="15" hidden="false" customHeight="false" outlineLevel="0" collapsed="false">
      <c r="A11" s="4" t="s">
        <v>44</v>
      </c>
      <c r="B11" s="10" t="n">
        <f aca="false">Projecao!$C$246</f>
        <v>21400000</v>
      </c>
      <c r="C11" s="10" t="n">
        <f aca="false">Projecao!$C$242</f>
        <v>8798058.144</v>
      </c>
      <c r="D11" s="10" t="n">
        <f aca="false">Projecao!$C$241</f>
        <v>3810394.96035217</v>
      </c>
      <c r="E11" s="11" t="n">
        <f aca="false">Projecao!$C$243</f>
        <v>0.433094996416993</v>
      </c>
      <c r="F11" s="11" t="n">
        <f aca="false">Projecao!$C$236</f>
        <v>0.0751217465762955</v>
      </c>
      <c r="G11" s="10" t="n">
        <f aca="false">Projecao!$C$237</f>
        <v>-2822134.15932971</v>
      </c>
      <c r="H11" s="12" t="n">
        <f aca="false">Projecao!$C$238</f>
        <v>9.61687181487598</v>
      </c>
      <c r="I11" s="13" t="n">
        <f aca="false">Projecao!$C$245</f>
        <v>14.3219941732537</v>
      </c>
      <c r="J11" s="11" t="n">
        <f aca="false">Projecao!$C$240</f>
        <v>0.0957323453418744</v>
      </c>
    </row>
    <row r="12" customFormat="false" ht="15" hidden="false" customHeight="false" outlineLevel="0" collapsed="false">
      <c r="A12" s="4" t="s">
        <v>45</v>
      </c>
      <c r="B12" s="10" t="n">
        <f aca="false">Projecao!$C$287</f>
        <v>31940000</v>
      </c>
      <c r="C12" s="10" t="n">
        <f aca="false">Projecao!$C$283</f>
        <v>2918346.2775</v>
      </c>
      <c r="D12" s="10" t="n">
        <f aca="false">Projecao!$C$282</f>
        <v>-1073654.45161391</v>
      </c>
      <c r="E12" s="11" t="n">
        <f aca="false">Projecao!$C$284</f>
        <v>-0.367898237399593</v>
      </c>
      <c r="F12" s="11" t="str">
        <f aca="false">Projecao!$C$277</f>
        <v>negativa</v>
      </c>
      <c r="G12" s="10" t="n">
        <f aca="false">Projecao!$C$278</f>
        <v>-38999308.5604089</v>
      </c>
      <c r="H12" s="12" t="str">
        <f aca="false">Projecao!$C$279</f>
        <v>&gt; 10</v>
      </c>
      <c r="I12" s="13" t="n">
        <f aca="false">Projecao!$C$286</f>
        <v>31.436169813152</v>
      </c>
      <c r="J12" s="11" t="n">
        <f aca="false">Projecao!$C$281</f>
        <v>-0.0620352313099943</v>
      </c>
    </row>
    <row r="13" customFormat="false" ht="15" hidden="false" customHeight="false" outlineLevel="0" collapsed="false">
      <c r="A13" s="14" t="s">
        <v>46</v>
      </c>
      <c r="B13" s="15" t="n">
        <f aca="false">Projecao!$C$328</f>
        <v>31940000</v>
      </c>
      <c r="C13" s="15" t="n">
        <f aca="false">Projecao!$C$324</f>
        <v>4309957.925</v>
      </c>
      <c r="D13" s="15" t="n">
        <f aca="false">Projecao!$C$323</f>
        <v>569735.325286957</v>
      </c>
      <c r="E13" s="16" t="n">
        <f aca="false">Projecao!$C$325</f>
        <v>0.132190461067426</v>
      </c>
      <c r="F13" s="16" t="n">
        <f aca="false">Projecao!$C$318</f>
        <v>-0.0575231750744738</v>
      </c>
      <c r="G13" s="15" t="n">
        <f aca="false">Projecao!$C$319</f>
        <v>-27191281.2389032</v>
      </c>
      <c r="H13" s="17" t="str">
        <f aca="false">Projecao!$C$320</f>
        <v>&gt; 10</v>
      </c>
      <c r="I13" s="18" t="n">
        <f aca="false">Projecao!$C$327</f>
        <v>21.4459520079659</v>
      </c>
      <c r="J13" s="16" t="n">
        <f aca="false">Projecao!$C$322</f>
        <v>-0.0191533322617639</v>
      </c>
    </row>
    <row r="14" customFormat="false" ht="15" hidden="false" customHeight="false" outlineLevel="0" collapsed="false">
      <c r="A14" s="4" t="s">
        <v>47</v>
      </c>
      <c r="B14" s="10" t="n">
        <f aca="false">Projecao!$C$369</f>
        <v>31940000</v>
      </c>
      <c r="C14" s="10" t="n">
        <f aca="false">Projecao!$C$365</f>
        <v>5621226.1775</v>
      </c>
      <c r="D14" s="10" t="n">
        <f aca="false">Projecao!$C$364</f>
        <v>2031811.15393957</v>
      </c>
      <c r="E14" s="11" t="n">
        <f aca="false">Projecao!$C$366</f>
        <v>0.361453371521016</v>
      </c>
      <c r="F14" s="11" t="n">
        <f aca="false">Projecao!$C$359</f>
        <v>0.00321032430717426</v>
      </c>
      <c r="G14" s="10" t="n">
        <f aca="false">Projecao!$C$360</f>
        <v>-18303451.6916471</v>
      </c>
      <c r="H14" s="12" t="str">
        <f aca="false">Projecao!$C$361</f>
        <v>&gt; 10</v>
      </c>
      <c r="I14" s="13" t="n">
        <f aca="false">Projecao!$C$368</f>
        <v>16.6931176961848</v>
      </c>
      <c r="J14" s="11" t="n">
        <f aca="false">Projecao!$C$363</f>
        <v>0.0202040703877935</v>
      </c>
    </row>
    <row r="15" customFormat="false" ht="15" hidden="false" customHeight="false" outlineLevel="0" collapsed="false">
      <c r="A15" s="4" t="s">
        <v>48</v>
      </c>
      <c r="B15" s="10" t="n">
        <f aca="false">Projecao!$C$410</f>
        <v>10600000</v>
      </c>
      <c r="C15" s="10" t="n">
        <f aca="false">Projecao!$C$406</f>
        <v>2593980.5175</v>
      </c>
      <c r="D15" s="10" t="n">
        <f aca="false">Projecao!$C$405</f>
        <v>-1368005.22881391</v>
      </c>
      <c r="E15" s="11" t="n">
        <f aca="false">Projecao!$C$407</f>
        <v>-0.527376832472264</v>
      </c>
      <c r="F15" s="11" t="str">
        <f aca="false">Projecao!$C$400</f>
        <v>negativa</v>
      </c>
      <c r="G15" s="10" t="n">
        <f aca="false">Projecao!$C$401</f>
        <v>-20795450.7727483</v>
      </c>
      <c r="H15" s="12" t="str">
        <f aca="false">Projecao!$C$402</f>
        <v>&gt; 10</v>
      </c>
      <c r="I15" s="13" t="n">
        <f aca="false">Projecao!$C$409</f>
        <v>37.6143928553228</v>
      </c>
      <c r="J15" s="11" t="n">
        <f aca="false">Projecao!$C$404</f>
        <v>-0.13618628936238</v>
      </c>
    </row>
    <row r="16" customFormat="false" ht="15" hidden="false" customHeight="false" outlineLevel="0" collapsed="false">
      <c r="A16" s="14" t="s">
        <v>49</v>
      </c>
      <c r="B16" s="15" t="n">
        <f aca="false">Projecao!$C$451</f>
        <v>10600000</v>
      </c>
      <c r="C16" s="15" t="n">
        <f aca="false">Projecao!$C$447</f>
        <v>3827510.925</v>
      </c>
      <c r="D16" s="15" t="n">
        <f aca="false">Projecao!$C$446</f>
        <v>114574.673286956</v>
      </c>
      <c r="E16" s="16" t="n">
        <f aca="false">Projecao!$C$448</f>
        <v>0.0299345124108185</v>
      </c>
      <c r="F16" s="16" t="n">
        <f aca="false">Projecao!$C$441</f>
        <v>-0.135553152458151</v>
      </c>
      <c r="G16" s="15" t="n">
        <f aca="false">Projecao!$C$442</f>
        <v>-10853227.9085005</v>
      </c>
      <c r="H16" s="17" t="str">
        <f aca="false">Projecao!$C$443</f>
        <v>&gt; 10</v>
      </c>
      <c r="I16" s="18" t="n">
        <f aca="false">Projecao!$C$450</f>
        <v>24.9246822661317</v>
      </c>
      <c r="J16" s="16" t="n">
        <f aca="false">Projecao!$C$445</f>
        <v>-0.0310043962213816</v>
      </c>
    </row>
    <row r="17" customFormat="false" ht="15" hidden="false" customHeight="false" outlineLevel="0" collapsed="false">
      <c r="A17" s="4" t="s">
        <v>50</v>
      </c>
      <c r="B17" s="10" t="n">
        <f aca="false">Projecao!$C$492</f>
        <v>10600000</v>
      </c>
      <c r="C17" s="10" t="n">
        <f aca="false">Projecao!$C$488</f>
        <v>4988649.0675</v>
      </c>
      <c r="D17" s="10" t="n">
        <f aca="false">Projecao!$C$487</f>
        <v>1425156.07453957</v>
      </c>
      <c r="E17" s="11" t="n">
        <f aca="false">Projecao!$C$489</f>
        <v>0.285679761245215</v>
      </c>
      <c r="F17" s="11" t="n">
        <f aca="false">Projecao!$C$482</f>
        <v>0.026922799218436</v>
      </c>
      <c r="G17" s="10" t="n">
        <f aca="false">Projecao!$C$483</f>
        <v>-3929847.92289</v>
      </c>
      <c r="H17" s="12" t="str">
        <f aca="false">Projecao!$C$484</f>
        <v>&gt; 10</v>
      </c>
      <c r="I17" s="13" t="n">
        <f aca="false">Projecao!$C$491</f>
        <v>19.1707803259998</v>
      </c>
      <c r="J17" s="11" t="n">
        <f aca="false">Projecao!$C$486</f>
        <v>0.0640025203157757</v>
      </c>
    </row>
    <row r="18" customFormat="false" ht="15" hidden="false" customHeight="false" outlineLevel="0" collapsed="false">
      <c r="A18" s="4" t="s">
        <v>51</v>
      </c>
      <c r="B18" s="10" t="n">
        <f aca="false">Projecao!$C$533</f>
        <v>27370000</v>
      </c>
      <c r="C18" s="10" t="n">
        <f aca="false">Projecao!$C$529</f>
        <v>2109814.695</v>
      </c>
      <c r="D18" s="10" t="n">
        <f aca="false">Projecao!$C$528</f>
        <v>-1343996.32580348</v>
      </c>
      <c r="E18" s="11" t="n">
        <f aca="false">Projecao!$C$530</f>
        <v>-0.637021027955007</v>
      </c>
      <c r="F18" s="11" t="str">
        <f aca="false">Projecao!$C$523</f>
        <v>negativa</v>
      </c>
      <c r="G18" s="10" t="n">
        <f aca="false">Projecao!$C$524</f>
        <v>-36046078.3038124</v>
      </c>
      <c r="H18" s="12" t="str">
        <f aca="false">Projecao!$C$525</f>
        <v>&gt; 10</v>
      </c>
      <c r="I18" s="13" t="n">
        <f aca="false">Projecao!$C$532</f>
        <v>42.1517726873709</v>
      </c>
      <c r="J18" s="11" t="n">
        <f aca="false">Projecao!$C$527</f>
        <v>-0.0727070384503752</v>
      </c>
    </row>
    <row r="19" customFormat="false" ht="15" hidden="false" customHeight="false" outlineLevel="0" collapsed="false">
      <c r="A19" s="14" t="s">
        <v>52</v>
      </c>
      <c r="B19" s="15" t="n">
        <f aca="false">Projecao!$C$574</f>
        <v>27370000</v>
      </c>
      <c r="C19" s="15" t="n">
        <f aca="false">Projecao!$C$570</f>
        <v>3106488</v>
      </c>
      <c r="D19" s="15" t="n">
        <f aca="false">Projecao!$C$569</f>
        <v>-124297.430878261</v>
      </c>
      <c r="E19" s="16" t="n">
        <f aca="false">Projecao!$C$571</f>
        <v>-0.0400122037742496</v>
      </c>
      <c r="F19" s="16" t="n">
        <f aca="false">Projecao!$C$564</f>
        <v>-0.0897155649772593</v>
      </c>
      <c r="G19" s="15" t="n">
        <f aca="false">Projecao!$C$565</f>
        <v>-27152100.1468289</v>
      </c>
      <c r="H19" s="17" t="str">
        <f aca="false">Projecao!$C$566</f>
        <v>&gt; 10</v>
      </c>
      <c r="I19" s="18" t="n">
        <f aca="false">Projecao!$C$573</f>
        <v>27.4685371236168</v>
      </c>
      <c r="J19" s="16" t="n">
        <f aca="false">Projecao!$C$568</f>
        <v>-0.0347057379976836</v>
      </c>
    </row>
    <row r="20" customFormat="false" ht="15" hidden="false" customHeight="false" outlineLevel="0" collapsed="false">
      <c r="A20" s="4" t="s">
        <v>53</v>
      </c>
      <c r="B20" s="10" t="n">
        <f aca="false">Projecao!$C$615</f>
        <v>27370000</v>
      </c>
      <c r="C20" s="10" t="n">
        <f aca="false">Projecao!$C$611</f>
        <v>4045822.395</v>
      </c>
      <c r="D20" s="10" t="n">
        <f aca="false">Projecao!$C$610</f>
        <v>949351.705847392</v>
      </c>
      <c r="E20" s="11" t="n">
        <f aca="false">Projecao!$C$612</f>
        <v>0.234649871685085</v>
      </c>
      <c r="F20" s="11" t="n">
        <f aca="false">Projecao!$C$605</f>
        <v>-0.0200161092683058</v>
      </c>
      <c r="G20" s="10" t="n">
        <f aca="false">Projecao!$C$606</f>
        <v>-19069889.6630777</v>
      </c>
      <c r="H20" s="12" t="str">
        <f aca="false">Projecao!$C$607</f>
        <v>&gt; 10</v>
      </c>
      <c r="I20" s="13" t="n">
        <f aca="false">Projecao!$C$614</f>
        <v>20.9816016640453</v>
      </c>
      <c r="J20" s="11" t="n">
        <f aca="false">Projecao!$C$609</f>
        <v>-7.50694098659315E-005</v>
      </c>
    </row>
    <row r="21" customFormat="false" ht="15" hidden="false" customHeight="false" outlineLevel="0" collapsed="false">
      <c r="A21" s="4" t="s">
        <v>54</v>
      </c>
      <c r="B21" s="10" t="n">
        <f aca="false">Projecao!$C$656</f>
        <v>10000000</v>
      </c>
      <c r="C21" s="10" t="n">
        <f aca="false">Projecao!$C$652</f>
        <v>1812563.88525</v>
      </c>
      <c r="D21" s="10" t="n">
        <f aca="false">Projecao!$C$651</f>
        <v>-1451158.67138826</v>
      </c>
      <c r="E21" s="11" t="n">
        <f aca="false">Projecao!$C$653</f>
        <v>-0.800611047807625</v>
      </c>
      <c r="F21" s="11" t="str">
        <f aca="false">Projecao!$C$646</f>
        <v>negativa</v>
      </c>
      <c r="G21" s="10" t="n">
        <f aca="false">Projecao!$C$647</f>
        <v>-20202033.0890661</v>
      </c>
      <c r="H21" s="12" t="str">
        <f aca="false">Projecao!$C$648</f>
        <v>&gt; 10</v>
      </c>
      <c r="I21" s="13" t="n">
        <f aca="false">Projecao!$C$655</f>
        <v>49.4663185303762</v>
      </c>
      <c r="J21" s="11" t="n">
        <f aca="false">Projecao!$C$650</f>
        <v>-0.14632005676941</v>
      </c>
    </row>
    <row r="22" customFormat="false" ht="15" hidden="false" customHeight="false" outlineLevel="0" collapsed="false">
      <c r="A22" s="14" t="s">
        <v>55</v>
      </c>
      <c r="B22" s="15" t="n">
        <f aca="false">Projecao!$C$697</f>
        <v>10000000</v>
      </c>
      <c r="C22" s="15" t="n">
        <f aca="false">Projecao!$C$693</f>
        <v>2675248.4625</v>
      </c>
      <c r="D22" s="15" t="n">
        <f aca="false">Projecao!$C$692</f>
        <v>-373568.54056087</v>
      </c>
      <c r="E22" s="16" t="n">
        <f aca="false">Projecao!$C$694</f>
        <v>-0.139638820766492</v>
      </c>
      <c r="F22" s="16" t="str">
        <f aca="false">Projecao!$C$687</f>
        <v>negativa</v>
      </c>
      <c r="G22" s="15" t="n">
        <f aca="false">Projecao!$C$688</f>
        <v>-12893628.0710847</v>
      </c>
      <c r="H22" s="17" t="str">
        <f aca="false">Projecao!$C$689</f>
        <v>&gt; 10</v>
      </c>
      <c r="I22" s="18" t="n">
        <f aca="false">Projecao!$C$696</f>
        <v>31.2755731074158</v>
      </c>
      <c r="J22" s="16" t="n">
        <f aca="false">Projecao!$C$691</f>
        <v>-0.063798189717128</v>
      </c>
    </row>
    <row r="23" customFormat="false" ht="15" hidden="false" customHeight="false" outlineLevel="0" collapsed="false">
      <c r="A23" s="4" t="s">
        <v>56</v>
      </c>
      <c r="B23" s="10" t="n">
        <f aca="false">Projecao!$C$738</f>
        <v>10000000</v>
      </c>
      <c r="C23" s="10" t="n">
        <f aca="false">Projecao!$C$734</f>
        <v>3486234.72525</v>
      </c>
      <c r="D23" s="10" t="n">
        <f aca="false">Projecao!$C$733</f>
        <v>566536.982921305</v>
      </c>
      <c r="E23" s="11" t="n">
        <f aca="false">Projecao!$C$735</f>
        <v>0.162506838342814</v>
      </c>
      <c r="F23" s="11" t="n">
        <f aca="false">Projecao!$C$728</f>
        <v>-0.0343841912253076</v>
      </c>
      <c r="G23" s="10" t="n">
        <f aca="false">Projecao!$C$729</f>
        <v>-6642691.02361929</v>
      </c>
      <c r="H23" s="12" t="str">
        <f aca="false">Projecao!$C$730</f>
        <v>&gt; 10</v>
      </c>
      <c r="I23" s="13" t="n">
        <f aca="false">Projecao!$C$737</f>
        <v>23.6355088124962</v>
      </c>
      <c r="J23" s="11" t="n">
        <f aca="false">Projecao!$C$732</f>
        <v>0.00996475830768379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7" t="s">
        <v>57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42" hidden="false" customHeight="true" outlineLevel="0" collapsed="false">
      <c r="A26" s="3"/>
      <c r="B26" s="9" t="s">
        <v>58</v>
      </c>
      <c r="C26" s="9" t="s">
        <v>59</v>
      </c>
      <c r="D26" s="9" t="s">
        <v>60</v>
      </c>
      <c r="E26" s="9" t="s">
        <v>61</v>
      </c>
      <c r="F26" s="9" t="s">
        <v>62</v>
      </c>
      <c r="G26" s="9" t="s">
        <v>63</v>
      </c>
      <c r="H26" s="3"/>
      <c r="I26" s="3"/>
      <c r="J26" s="3"/>
    </row>
    <row r="27" customFormat="false" ht="15" hidden="false" customHeight="false" outlineLevel="0" collapsed="false">
      <c r="A27" s="14" t="s">
        <v>64</v>
      </c>
      <c r="B27" s="13" t="n">
        <f aca="false">Buy_Build_Charter!B14</f>
        <v>41.6646268097321</v>
      </c>
      <c r="C27" s="13" t="n">
        <f aca="false">Buy_Build_Charter!C14</f>
        <v>31.9923247356193</v>
      </c>
      <c r="D27" s="13" t="n">
        <f aca="false">Buy_Build_Charter!D14</f>
        <v>53.901322489135</v>
      </c>
      <c r="E27" s="13" t="n">
        <f aca="false">Buy_Build_Charter!E14</f>
        <v>38.3195721143234</v>
      </c>
      <c r="F27" s="13" t="n">
        <f aca="false">Buy_Build_Charter!F14</f>
        <v>70.0392462282592</v>
      </c>
      <c r="G27" s="13" t="n">
        <f aca="false">Buy_Build_Charter!G14</f>
        <v>49.6431829853853</v>
      </c>
      <c r="H27" s="3"/>
      <c r="I27" s="3"/>
      <c r="J27" s="3"/>
    </row>
    <row r="28" customFormat="false" ht="15" hidden="false" customHeight="false" outlineLevel="0" collapsed="false">
      <c r="A28" s="14" t="s">
        <v>65</v>
      </c>
      <c r="B28" s="11" t="n">
        <f aca="false">Buy_Build_Charter!B17</f>
        <v>0.491485437347017</v>
      </c>
      <c r="C28" s="11" t="n">
        <f aca="false">Buy_Build_Charter!C17</f>
        <v>0.183294176146328</v>
      </c>
      <c r="D28" s="11" t="n">
        <f aca="false">Buy_Build_Charter!D17</f>
        <v>0.831180561625672</v>
      </c>
      <c r="E28" s="11" t="n">
        <f aca="false">Buy_Build_Charter!E17</f>
        <v>0.352756183234985</v>
      </c>
      <c r="F28" s="11" t="n">
        <f aca="false">Buy_Build_Charter!F17</f>
        <v>1.23027525208501</v>
      </c>
      <c r="G28" s="11" t="n">
        <f aca="false">Buy_Build_Charter!G17</f>
        <v>0.64744667003486</v>
      </c>
      <c r="H28" s="3"/>
      <c r="I28" s="3"/>
      <c r="J28" s="3"/>
    </row>
    <row r="29" customFormat="false" ht="15" hidden="false" customHeight="false" outlineLevel="0" collapsed="false">
      <c r="A29" s="14" t="s">
        <v>66</v>
      </c>
      <c r="B29" s="11" t="n">
        <f aca="false">Buy_Build_Charter!B19</f>
        <v>0.317185659227318</v>
      </c>
      <c r="C29" s="11" t="n">
        <f aca="false">Buy_Build_Charter!C19</f>
        <v>0.0528160047267101</v>
      </c>
      <c r="D29" s="11" t="n">
        <f aca="false">Buy_Build_Charter!D19</f>
        <v>0.617084466281891</v>
      </c>
      <c r="E29" s="11" t="n">
        <f aca="false">Buy_Build_Charter!E19</f>
        <v>0.206458180059693</v>
      </c>
      <c r="F29" s="11" t="n">
        <f aca="false">Buy_Build_Charter!F19</f>
        <v>0.969394155671744</v>
      </c>
      <c r="G29" s="11" t="n">
        <f aca="false">Buy_Build_Charter!G19</f>
        <v>0.466188991186872</v>
      </c>
      <c r="H29" s="3"/>
      <c r="I29" s="3"/>
      <c r="J29" s="3"/>
    </row>
    <row r="30" customFormat="false" ht="15" hidden="false" customHeight="false" outlineLevel="0" collapsed="false">
      <c r="A30" s="14" t="s">
        <v>67</v>
      </c>
      <c r="B30" s="10" t="n">
        <f aca="false">Buy_Build_Charter!B21</f>
        <v>12419488.9784628</v>
      </c>
      <c r="C30" s="10" t="n">
        <f aca="false">Buy_Build_Charter!C21</f>
        <v>7568858.67226724</v>
      </c>
      <c r="D30" s="10" t="n">
        <f aca="false">Buy_Build_Charter!D21</f>
        <v>2953740.02511051</v>
      </c>
      <c r="E30" s="10" t="n">
        <f aca="false">Buy_Build_Charter!E21</f>
        <v>200401.974820245</v>
      </c>
      <c r="F30" s="10" t="n">
        <f aca="false">Buy_Build_Charter!F21</f>
        <v>0</v>
      </c>
      <c r="G30" s="10" t="n">
        <f aca="false">Buy_Build_Charter!G21</f>
        <v>0</v>
      </c>
      <c r="H30" s="3"/>
      <c r="I30" s="3"/>
      <c r="J30" s="3"/>
    </row>
    <row r="31" customFormat="false" ht="15" hidden="false" customHeight="false" outlineLevel="0" collapsed="false">
      <c r="A31" s="14" t="s">
        <v>68</v>
      </c>
      <c r="B31" s="10" t="n">
        <f aca="false">Buy_Build_Charter!B22</f>
        <v>17127341.9468525</v>
      </c>
      <c r="C31" s="10" t="n">
        <f aca="false">Buy_Build_Charter!C22</f>
        <v>11468381.9364706</v>
      </c>
      <c r="D31" s="10" t="n">
        <f aca="false">Buy_Build_Charter!D22</f>
        <v>5486712.93671703</v>
      </c>
      <c r="E31" s="10" t="n">
        <f aca="false">Buy_Build_Charter!E22</f>
        <v>2228386.77567116</v>
      </c>
      <c r="F31" s="10" t="n">
        <f aca="false">Buy_Build_Charter!F22</f>
        <v>891808.34121446</v>
      </c>
      <c r="G31" s="10" t="n">
        <f aca="false">Buy_Build_Charter!G22</f>
        <v>0</v>
      </c>
      <c r="H31" s="3"/>
      <c r="I31" s="3"/>
      <c r="J31" s="3"/>
    </row>
    <row r="32" customFormat="false" ht="15" hidden="false" customHeight="false" outlineLevel="0" collapsed="false">
      <c r="A32" s="14" t="s">
        <v>69</v>
      </c>
      <c r="B32" s="10" t="n">
        <f aca="false">Buy_Build_Charter!B6</f>
        <v>47709000</v>
      </c>
      <c r="C32" s="10" t="n">
        <f aca="false">Buy_Build_Charter!C6</f>
        <v>21400000</v>
      </c>
      <c r="D32" s="10" t="n">
        <f aca="false">Buy_Build_Charter!D6</f>
        <v>31940000</v>
      </c>
      <c r="E32" s="10" t="n">
        <f aca="false">Buy_Build_Charter!E6</f>
        <v>10600000</v>
      </c>
      <c r="F32" s="10" t="n">
        <f aca="false">Buy_Build_Charter!F6</f>
        <v>27370000</v>
      </c>
      <c r="G32" s="10" t="n">
        <f aca="false">Buy_Build_Charter!G6</f>
        <v>10000000</v>
      </c>
      <c r="H32" s="3"/>
      <c r="I32" s="3"/>
      <c r="J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false" outlineLevel="0" collapsed="false">
      <c r="A34" s="7" t="s">
        <v>70</v>
      </c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19" t="s">
        <v>71</v>
      </c>
      <c r="B35" s="19" t="s">
        <v>72</v>
      </c>
      <c r="C35" s="19" t="s">
        <v>73</v>
      </c>
      <c r="D35" s="19" t="s">
        <v>74</v>
      </c>
      <c r="E35" s="19" t="s">
        <v>75</v>
      </c>
      <c r="F35" s="3"/>
      <c r="G35" s="3"/>
      <c r="H35" s="3"/>
      <c r="I35" s="3"/>
      <c r="J35" s="3"/>
    </row>
    <row r="36" customFormat="false" ht="15" hidden="false" customHeight="false" outlineLevel="0" collapsed="false">
      <c r="A36" s="14" t="s">
        <v>76</v>
      </c>
      <c r="B36" s="20" t="n">
        <f aca="false">Charter!C7</f>
        <v>280000</v>
      </c>
      <c r="C36" s="20" t="n">
        <f aca="false">Charter!C13</f>
        <v>403200</v>
      </c>
      <c r="D36" s="20" t="n">
        <f aca="false">Charter!C14</f>
        <v>463600</v>
      </c>
      <c r="E36" s="20" t="n">
        <f aca="false">Charter!C16</f>
        <v>6438.88888888889</v>
      </c>
      <c r="F36" s="3"/>
      <c r="G36" s="3"/>
      <c r="H36" s="3"/>
      <c r="I36" s="3"/>
      <c r="J36" s="3"/>
    </row>
    <row r="37" customFormat="false" ht="15" hidden="false" customHeight="false" outlineLevel="0" collapsed="false">
      <c r="A37" s="14" t="s">
        <v>77</v>
      </c>
      <c r="B37" s="20" t="n">
        <f aca="false">Charter!C21</f>
        <v>135000</v>
      </c>
      <c r="C37" s="20" t="n">
        <f aca="false">Charter!C27</f>
        <v>194400</v>
      </c>
      <c r="D37" s="20" t="n">
        <f aca="false">Charter!C28</f>
        <v>229950</v>
      </c>
      <c r="E37" s="20" t="n">
        <f aca="false">Charter!C30</f>
        <v>4692.85714285714</v>
      </c>
      <c r="F37" s="3"/>
      <c r="G37" s="3"/>
      <c r="H37" s="3"/>
      <c r="I37" s="3"/>
      <c r="J37" s="3"/>
    </row>
    <row r="38" customFormat="false" ht="15" hidden="false" customHeight="false" outlineLevel="0" collapsed="false">
      <c r="A38" s="14" t="s">
        <v>78</v>
      </c>
      <c r="B38" s="20" t="n">
        <f aca="false">Charter!C35</f>
        <v>95000</v>
      </c>
      <c r="C38" s="20" t="n">
        <f aca="false">Charter!C41</f>
        <v>136800</v>
      </c>
      <c r="D38" s="20" t="n">
        <f aca="false">Charter!C42</f>
        <v>162500</v>
      </c>
      <c r="E38" s="20" t="n">
        <f aca="false">Charter!C44</f>
        <v>4513.88888888889</v>
      </c>
      <c r="F38" s="3"/>
      <c r="G38" s="3"/>
      <c r="H38" s="3"/>
      <c r="I38" s="3"/>
      <c r="J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7" t="s">
        <v>79</v>
      </c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19" t="s">
        <v>80</v>
      </c>
      <c r="B41" s="19" t="s">
        <v>81</v>
      </c>
      <c r="C41" s="19" t="s">
        <v>82</v>
      </c>
      <c r="D41" s="19" t="s">
        <v>83</v>
      </c>
      <c r="E41" s="19" t="s">
        <v>84</v>
      </c>
      <c r="F41" s="19" t="s">
        <v>85</v>
      </c>
      <c r="G41" s="19" t="s">
        <v>86</v>
      </c>
      <c r="H41" s="19" t="s">
        <v>87</v>
      </c>
      <c r="I41" s="3"/>
      <c r="J41" s="3"/>
    </row>
    <row r="42" customFormat="false" ht="15" hidden="false" customHeight="false" outlineLevel="0" collapsed="false">
      <c r="A42" s="14" t="s">
        <v>59</v>
      </c>
      <c r="B42" s="11" t="n">
        <f aca="false">Financiamento!$C$16</f>
        <v>-0.0269687823357965</v>
      </c>
      <c r="C42" s="11" t="str">
        <f aca="false">Financiamento!$C$34</f>
        <v>negativa</v>
      </c>
      <c r="D42" s="11" t="str">
        <f aca="false">Financiamento!$C$52</f>
        <v>negativa</v>
      </c>
      <c r="E42" s="10" t="n">
        <f aca="false">Financiamento!$C$51</f>
        <v>6420000</v>
      </c>
      <c r="F42" s="21" t="n">
        <f aca="false">Financiamento!$C$35</f>
        <v>0.580194117463195</v>
      </c>
      <c r="G42" s="21" t="n">
        <f aca="false">Financiamento!$C$53</f>
        <v>0.414424369616568</v>
      </c>
      <c r="H42" s="10" t="n">
        <f aca="false">Financiamento!$C$54</f>
        <v>2010316</v>
      </c>
      <c r="I42" s="3"/>
      <c r="J42" s="3"/>
    </row>
    <row r="43" customFormat="false" ht="15" hidden="false" customHeight="false" outlineLevel="0" collapsed="false">
      <c r="A43" s="14" t="s">
        <v>58</v>
      </c>
      <c r="B43" s="11" t="n">
        <f aca="false">Financiamento!$C$70</f>
        <v>-0.0174193225064716</v>
      </c>
      <c r="C43" s="11" t="str">
        <f aca="false">Financiamento!$C$88</f>
        <v>negativa</v>
      </c>
      <c r="D43" s="11" t="str">
        <f aca="false">Financiamento!$C$106</f>
        <v>negativa</v>
      </c>
      <c r="E43" s="10" t="n">
        <f aca="false">Financiamento!$C$105</f>
        <v>14312700</v>
      </c>
      <c r="F43" s="21" t="n">
        <f aca="false">Financiamento!$C$89</f>
        <v>0.46948987770129</v>
      </c>
      <c r="G43" s="21" t="n">
        <f aca="false">Financiamento!$C$107</f>
        <v>0.335349912643779</v>
      </c>
      <c r="H43" s="10" t="n">
        <f aca="false">Financiamento!$C$108</f>
        <v>4481783.46</v>
      </c>
      <c r="I43" s="3"/>
      <c r="J43" s="3"/>
    </row>
    <row r="44" customFormat="false" ht="15" hidden="false" customHeight="false" outlineLevel="0" collapsed="false">
      <c r="A44" s="14" t="s">
        <v>61</v>
      </c>
      <c r="B44" s="11" t="n">
        <f aca="false">Financiamento!$C$124</f>
        <v>-0.135553152458152</v>
      </c>
      <c r="C44" s="11" t="str">
        <f aca="false">Financiamento!$C$142</f>
        <v>negativa</v>
      </c>
      <c r="D44" s="11" t="str">
        <f aca="false">Financiamento!$C$160</f>
        <v>negativa</v>
      </c>
      <c r="E44" s="10" t="n">
        <f aca="false">Financiamento!$C$159</f>
        <v>3180000</v>
      </c>
      <c r="F44" s="21" t="n">
        <f aca="false">Financiamento!$C$143</f>
        <v>-0.3334697292863</v>
      </c>
      <c r="G44" s="21" t="n">
        <f aca="false">Financiamento!$C$161</f>
        <v>-0.238192663775929</v>
      </c>
      <c r="H44" s="10" t="n">
        <f aca="false">Financiamento!$C$162</f>
        <v>995764</v>
      </c>
      <c r="I44" s="3"/>
      <c r="J4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70"/>
    <col collapsed="false" customWidth="true" hidden="false" outlineLevel="0" max="11" min="11" style="0" width="4"/>
  </cols>
  <sheetData>
    <row r="1" customFormat="false" ht="17.35" hidden="false" customHeight="false" outlineLevel="0" collapsed="false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6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7" t="s">
        <v>90</v>
      </c>
      <c r="B4" s="8"/>
      <c r="C4" s="8"/>
      <c r="D4" s="8"/>
      <c r="E4" s="8"/>
      <c r="F4" s="8"/>
      <c r="G4" s="8"/>
      <c r="H4" s="8"/>
      <c r="I4" s="8"/>
      <c r="J4" s="8"/>
      <c r="K4" s="3"/>
    </row>
    <row r="5" customFormat="false" ht="15" hidden="false" customHeight="false" outlineLevel="0" collapsed="false">
      <c r="A5" s="14" t="s">
        <v>91</v>
      </c>
      <c r="B5" s="14" t="s">
        <v>92</v>
      </c>
      <c r="C5" s="14" t="s">
        <v>93</v>
      </c>
      <c r="D5" s="14" t="s">
        <v>94</v>
      </c>
      <c r="E5" s="14"/>
      <c r="F5" s="14"/>
      <c r="G5" s="14"/>
      <c r="H5" s="14"/>
      <c r="I5" s="14"/>
      <c r="J5" s="14" t="s">
        <v>95</v>
      </c>
      <c r="K5" s="3"/>
    </row>
    <row r="6" customFormat="false" ht="15" hidden="false" customHeight="false" outlineLevel="0" collapsed="false">
      <c r="A6" s="4" t="s">
        <v>96</v>
      </c>
      <c r="B6" s="22" t="n">
        <v>1.15</v>
      </c>
      <c r="C6" s="6" t="s">
        <v>97</v>
      </c>
      <c r="D6" s="6" t="s">
        <v>98</v>
      </c>
      <c r="E6" s="3"/>
      <c r="F6" s="3"/>
      <c r="G6" s="3"/>
      <c r="H6" s="3"/>
      <c r="I6" s="3"/>
      <c r="J6" s="6" t="s">
        <v>99</v>
      </c>
      <c r="K6" s="3"/>
    </row>
    <row r="7" customFormat="false" ht="15" hidden="false" customHeight="false" outlineLevel="0" collapsed="false">
      <c r="A7" s="4" t="s">
        <v>100</v>
      </c>
      <c r="B7" s="23" t="n">
        <v>5.85</v>
      </c>
      <c r="C7" s="6" t="s">
        <v>101</v>
      </c>
      <c r="D7" s="6" t="s">
        <v>98</v>
      </c>
      <c r="E7" s="3"/>
      <c r="F7" s="3"/>
      <c r="G7" s="3"/>
      <c r="H7" s="3"/>
      <c r="I7" s="3"/>
      <c r="J7" s="6" t="s">
        <v>102</v>
      </c>
      <c r="K7" s="3"/>
    </row>
    <row r="8" customFormat="false" ht="15" hidden="false" customHeight="false" outlineLevel="0" collapsed="false">
      <c r="A8" s="4" t="s">
        <v>103</v>
      </c>
      <c r="B8" s="24" t="n">
        <v>0.025</v>
      </c>
      <c r="C8" s="6" t="s">
        <v>104</v>
      </c>
      <c r="D8" s="6" t="s">
        <v>105</v>
      </c>
      <c r="E8" s="3"/>
      <c r="F8" s="3"/>
      <c r="G8" s="3"/>
      <c r="H8" s="3"/>
      <c r="I8" s="3"/>
      <c r="J8" s="6" t="s">
        <v>106</v>
      </c>
      <c r="K8" s="3"/>
    </row>
    <row r="9" customFormat="false" ht="15" hidden="false" customHeight="false" outlineLevel="0" collapsed="false">
      <c r="A9" s="4" t="s">
        <v>107</v>
      </c>
      <c r="B9" s="24" t="n">
        <v>0.03</v>
      </c>
      <c r="C9" s="6" t="s">
        <v>104</v>
      </c>
      <c r="D9" s="6" t="s">
        <v>105</v>
      </c>
      <c r="E9" s="3"/>
      <c r="F9" s="3"/>
      <c r="G9" s="3"/>
      <c r="H9" s="3"/>
      <c r="I9" s="3"/>
      <c r="J9" s="6" t="s">
        <v>108</v>
      </c>
      <c r="K9" s="3"/>
    </row>
    <row r="10" customFormat="false" ht="15" hidden="false" customHeight="false" outlineLevel="0" collapsed="false">
      <c r="A10" s="4" t="s">
        <v>109</v>
      </c>
      <c r="B10" s="25" t="n">
        <v>0.1</v>
      </c>
      <c r="C10" s="6" t="s">
        <v>104</v>
      </c>
      <c r="D10" s="6" t="s">
        <v>105</v>
      </c>
      <c r="E10" s="3"/>
      <c r="F10" s="3"/>
      <c r="G10" s="3"/>
      <c r="H10" s="3"/>
      <c r="I10" s="3"/>
      <c r="J10" s="6" t="s">
        <v>110</v>
      </c>
      <c r="K10" s="3"/>
    </row>
    <row r="11" customFormat="false" ht="15" hidden="false" customHeight="false" outlineLevel="0" collapsed="false">
      <c r="A11" s="4" t="s">
        <v>111</v>
      </c>
      <c r="B11" s="25" t="n">
        <v>0.34</v>
      </c>
      <c r="C11" s="6" t="s">
        <v>104</v>
      </c>
      <c r="D11" s="6" t="s">
        <v>105</v>
      </c>
      <c r="E11" s="3"/>
      <c r="F11" s="3"/>
      <c r="G11" s="3"/>
      <c r="H11" s="3"/>
      <c r="I11" s="3"/>
      <c r="J11" s="6" t="s">
        <v>112</v>
      </c>
      <c r="K11" s="3"/>
    </row>
    <row r="12" customFormat="false" ht="15" hidden="false" customHeight="false" outlineLevel="0" collapsed="false">
      <c r="A12" s="4" t="s">
        <v>113</v>
      </c>
      <c r="B12" s="25" t="n">
        <v>0.15</v>
      </c>
      <c r="C12" s="6" t="s">
        <v>104</v>
      </c>
      <c r="D12" s="6" t="s">
        <v>114</v>
      </c>
      <c r="E12" s="3"/>
      <c r="F12" s="3"/>
      <c r="G12" s="3"/>
      <c r="H12" s="3"/>
      <c r="I12" s="3"/>
      <c r="J12" s="6" t="s">
        <v>115</v>
      </c>
      <c r="K12" s="3"/>
    </row>
    <row r="13" customFormat="false" ht="15" hidden="false" customHeight="false" outlineLevel="0" collapsed="false">
      <c r="A13" s="4" t="s">
        <v>116</v>
      </c>
      <c r="B13" s="26" t="n">
        <v>150</v>
      </c>
      <c r="C13" s="6" t="s">
        <v>117</v>
      </c>
      <c r="D13" s="6" t="s">
        <v>105</v>
      </c>
      <c r="E13" s="3"/>
      <c r="F13" s="3"/>
      <c r="G13" s="3"/>
      <c r="H13" s="3"/>
      <c r="I13" s="3"/>
      <c r="J13" s="6" t="s">
        <v>118</v>
      </c>
      <c r="K13" s="3"/>
    </row>
    <row r="14" customFormat="false" ht="15" hidden="false" customHeight="false" outlineLevel="0" collapsed="false">
      <c r="A14" s="4" t="s">
        <v>119</v>
      </c>
      <c r="B14" s="24" t="n">
        <v>0.9</v>
      </c>
      <c r="C14" s="6" t="s">
        <v>104</v>
      </c>
      <c r="D14" s="6" t="s">
        <v>105</v>
      </c>
      <c r="E14" s="3"/>
      <c r="F14" s="3"/>
      <c r="G14" s="3"/>
      <c r="H14" s="3"/>
      <c r="I14" s="3"/>
      <c r="J14" s="6" t="s">
        <v>120</v>
      </c>
      <c r="K14" s="3"/>
    </row>
    <row r="15" customFormat="false" ht="15" hidden="false" customHeight="false" outlineLevel="0" collapsed="false">
      <c r="A15" s="4" t="s">
        <v>121</v>
      </c>
      <c r="B15" s="26" t="n">
        <v>55</v>
      </c>
      <c r="C15" s="6" t="s">
        <v>122</v>
      </c>
      <c r="D15" s="6" t="s">
        <v>114</v>
      </c>
      <c r="E15" s="3"/>
      <c r="F15" s="3"/>
      <c r="G15" s="3"/>
      <c r="H15" s="3"/>
      <c r="I15" s="3"/>
      <c r="J15" s="6" t="s">
        <v>123</v>
      </c>
      <c r="K15" s="3"/>
    </row>
    <row r="16" customFormat="false" ht="15" hidden="false" customHeight="false" outlineLevel="0" collapsed="false">
      <c r="A16" s="4" t="s">
        <v>124</v>
      </c>
      <c r="B16" s="26" t="n">
        <v>10</v>
      </c>
      <c r="C16" s="6" t="s">
        <v>122</v>
      </c>
      <c r="D16" s="6" t="s">
        <v>114</v>
      </c>
      <c r="E16" s="3"/>
      <c r="F16" s="3"/>
      <c r="G16" s="3"/>
      <c r="H16" s="3"/>
      <c r="I16" s="3"/>
      <c r="J16" s="6" t="s">
        <v>125</v>
      </c>
      <c r="K16" s="3"/>
    </row>
    <row r="17" customFormat="false" ht="15" hidden="false" customHeight="false" outlineLevel="0" collapsed="false">
      <c r="A17" s="4" t="s">
        <v>126</v>
      </c>
      <c r="B17" s="26" t="n">
        <v>13</v>
      </c>
      <c r="C17" s="6" t="s">
        <v>127</v>
      </c>
      <c r="D17" s="6" t="s">
        <v>114</v>
      </c>
      <c r="E17" s="3"/>
      <c r="F17" s="3"/>
      <c r="G17" s="3"/>
      <c r="H17" s="3"/>
      <c r="I17" s="3"/>
      <c r="J17" s="6" t="s">
        <v>128</v>
      </c>
      <c r="K17" s="3"/>
    </row>
    <row r="18" customFormat="false" ht="15" hidden="false" customHeight="false" outlineLevel="0" collapsed="false">
      <c r="A18" s="4" t="s">
        <v>129</v>
      </c>
      <c r="B18" s="27" t="n">
        <v>0.008</v>
      </c>
      <c r="C18" s="6" t="s">
        <v>130</v>
      </c>
      <c r="D18" s="6" t="s">
        <v>131</v>
      </c>
      <c r="E18" s="3"/>
      <c r="F18" s="3"/>
      <c r="G18" s="3"/>
      <c r="H18" s="3"/>
      <c r="I18" s="3"/>
      <c r="J18" s="6" t="s">
        <v>132</v>
      </c>
      <c r="K18" s="3"/>
    </row>
    <row r="19" customFormat="false" ht="15" hidden="false" customHeight="false" outlineLevel="0" collapsed="false">
      <c r="A19" s="4" t="s">
        <v>133</v>
      </c>
      <c r="B19" s="24" t="n">
        <v>0.22</v>
      </c>
      <c r="C19" s="6" t="s">
        <v>134</v>
      </c>
      <c r="D19" s="6" t="s">
        <v>114</v>
      </c>
      <c r="E19" s="3"/>
      <c r="F19" s="3"/>
      <c r="G19" s="3"/>
      <c r="H19" s="3"/>
      <c r="I19" s="3"/>
      <c r="J19" s="6" t="s">
        <v>135</v>
      </c>
      <c r="K19" s="3"/>
    </row>
    <row r="20" customFormat="false" ht="15" hidden="false" customHeight="false" outlineLevel="0" collapsed="false">
      <c r="A20" s="4" t="s">
        <v>136</v>
      </c>
      <c r="B20" s="24" t="n">
        <v>0.05</v>
      </c>
      <c r="C20" s="6" t="s">
        <v>134</v>
      </c>
      <c r="D20" s="6" t="s">
        <v>105</v>
      </c>
      <c r="E20" s="3"/>
      <c r="F20" s="3"/>
      <c r="G20" s="3"/>
      <c r="H20" s="3"/>
      <c r="I20" s="3"/>
      <c r="J20" s="6" t="s">
        <v>137</v>
      </c>
      <c r="K20" s="3"/>
    </row>
    <row r="21" customFormat="false" ht="15" hidden="false" customHeight="false" outlineLevel="0" collapsed="false">
      <c r="A21" s="4" t="s">
        <v>138</v>
      </c>
      <c r="B21" s="23" t="n">
        <v>1.3</v>
      </c>
      <c r="C21" s="6" t="s">
        <v>139</v>
      </c>
      <c r="D21" s="6" t="s">
        <v>114</v>
      </c>
      <c r="E21" s="3"/>
      <c r="F21" s="3"/>
      <c r="G21" s="3"/>
      <c r="H21" s="3"/>
      <c r="I21" s="3"/>
      <c r="J21" s="6" t="s">
        <v>140</v>
      </c>
      <c r="K21" s="3"/>
    </row>
    <row r="22" customFormat="false" ht="15" hidden="false" customHeight="false" outlineLevel="0" collapsed="false">
      <c r="A22" s="4" t="s">
        <v>141</v>
      </c>
      <c r="B22" s="28" t="n">
        <v>8</v>
      </c>
      <c r="C22" s="6" t="s">
        <v>142</v>
      </c>
      <c r="D22" s="6" t="s">
        <v>105</v>
      </c>
      <c r="E22" s="3"/>
      <c r="F22" s="3"/>
      <c r="G22" s="3"/>
      <c r="H22" s="3"/>
      <c r="I22" s="3"/>
      <c r="J22" s="6" t="s">
        <v>143</v>
      </c>
      <c r="K22" s="3"/>
    </row>
    <row r="23" customFormat="false" ht="15" hidden="false" customHeight="false" outlineLevel="0" collapsed="false">
      <c r="A23" s="4" t="s">
        <v>144</v>
      </c>
      <c r="B23" s="24" t="n">
        <v>0.06</v>
      </c>
      <c r="C23" s="6" t="s">
        <v>145</v>
      </c>
      <c r="D23" s="6" t="s">
        <v>105</v>
      </c>
      <c r="E23" s="3"/>
      <c r="F23" s="3"/>
      <c r="G23" s="3"/>
      <c r="H23" s="3"/>
      <c r="I23" s="3"/>
      <c r="J23" s="6" t="s">
        <v>146</v>
      </c>
      <c r="K23" s="3"/>
    </row>
    <row r="24" customFormat="false" ht="15" hidden="false" customHeight="false" outlineLevel="0" collapsed="false">
      <c r="A24" s="4" t="s">
        <v>147</v>
      </c>
      <c r="B24" s="28" t="n">
        <v>10</v>
      </c>
      <c r="C24" s="6" t="s">
        <v>148</v>
      </c>
      <c r="D24" s="6" t="s">
        <v>114</v>
      </c>
      <c r="E24" s="3"/>
      <c r="F24" s="3"/>
      <c r="G24" s="3"/>
      <c r="H24" s="3"/>
      <c r="I24" s="3"/>
      <c r="J24" s="6" t="s">
        <v>149</v>
      </c>
      <c r="K24" s="3"/>
    </row>
    <row r="25" customFormat="false" ht="15" hidden="false" customHeight="false" outlineLevel="0" collapsed="false">
      <c r="A25" s="4" t="s">
        <v>150</v>
      </c>
      <c r="B25" s="24" t="n">
        <v>0.3</v>
      </c>
      <c r="C25" s="6" t="s">
        <v>151</v>
      </c>
      <c r="D25" s="6" t="s">
        <v>114</v>
      </c>
      <c r="E25" s="3"/>
      <c r="F25" s="3"/>
      <c r="G25" s="3"/>
      <c r="H25" s="3"/>
      <c r="I25" s="3"/>
      <c r="J25" s="6" t="s">
        <v>152</v>
      </c>
      <c r="K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false" outlineLevel="0" collapsed="false">
      <c r="A27" s="7" t="s">
        <v>153</v>
      </c>
      <c r="B27" s="8"/>
      <c r="C27" s="8"/>
      <c r="D27" s="8"/>
      <c r="E27" s="8"/>
      <c r="F27" s="8"/>
      <c r="G27" s="8"/>
      <c r="H27" s="8"/>
      <c r="I27" s="8"/>
      <c r="J27" s="8"/>
      <c r="K27" s="3"/>
    </row>
    <row r="28" customFormat="false" ht="15" hidden="false" customHeight="false" outlineLevel="0" collapsed="false">
      <c r="A28" s="14" t="s">
        <v>91</v>
      </c>
      <c r="B28" s="14" t="s">
        <v>154</v>
      </c>
      <c r="C28" s="14" t="s">
        <v>155</v>
      </c>
      <c r="D28" s="14" t="s">
        <v>156</v>
      </c>
      <c r="E28" s="14" t="s">
        <v>93</v>
      </c>
      <c r="F28" s="14" t="s">
        <v>94</v>
      </c>
      <c r="G28" s="14"/>
      <c r="H28" s="14"/>
      <c r="I28" s="14"/>
      <c r="J28" s="14" t="s">
        <v>95</v>
      </c>
      <c r="K28" s="3"/>
    </row>
    <row r="29" customFormat="false" ht="15" hidden="false" customHeight="false" outlineLevel="0" collapsed="false">
      <c r="A29" s="4" t="s">
        <v>157</v>
      </c>
      <c r="B29" s="29" t="n">
        <v>20</v>
      </c>
      <c r="C29" s="29" t="n">
        <v>26</v>
      </c>
      <c r="D29" s="29" t="n">
        <v>30</v>
      </c>
      <c r="E29" s="6" t="s">
        <v>158</v>
      </c>
      <c r="F29" s="6" t="s">
        <v>105</v>
      </c>
      <c r="G29" s="3"/>
      <c r="H29" s="3"/>
      <c r="I29" s="3"/>
      <c r="J29" s="6" t="s">
        <v>159</v>
      </c>
      <c r="K29" s="3"/>
    </row>
    <row r="30" customFormat="false" ht="15" hidden="false" customHeight="false" outlineLevel="0" collapsed="false">
      <c r="A30" s="4" t="s">
        <v>160</v>
      </c>
      <c r="B30" s="29" t="n">
        <v>6</v>
      </c>
      <c r="C30" s="29" t="n">
        <v>8</v>
      </c>
      <c r="D30" s="29" t="n">
        <v>12</v>
      </c>
      <c r="E30" s="6" t="s">
        <v>158</v>
      </c>
      <c r="F30" s="6" t="s">
        <v>105</v>
      </c>
      <c r="G30" s="3"/>
      <c r="H30" s="3"/>
      <c r="I30" s="3"/>
      <c r="J30" s="6" t="s">
        <v>161</v>
      </c>
      <c r="K30" s="3"/>
    </row>
    <row r="31" customFormat="false" ht="15" hidden="false" customHeight="false" outlineLevel="0" collapsed="false">
      <c r="A31" s="4" t="s">
        <v>162</v>
      </c>
      <c r="B31" s="28" t="n">
        <v>4</v>
      </c>
      <c r="C31" s="28" t="n">
        <v>4</v>
      </c>
      <c r="D31" s="28" t="n">
        <v>4</v>
      </c>
      <c r="E31" s="6" t="s">
        <v>158</v>
      </c>
      <c r="F31" s="6" t="s">
        <v>105</v>
      </c>
      <c r="G31" s="3"/>
      <c r="H31" s="3"/>
      <c r="I31" s="3"/>
      <c r="J31" s="6" t="s">
        <v>163</v>
      </c>
      <c r="K31" s="3"/>
    </row>
    <row r="32" customFormat="false" ht="15" hidden="false" customHeight="false" outlineLevel="0" collapsed="false">
      <c r="A32" s="4" t="s">
        <v>164</v>
      </c>
      <c r="B32" s="23" t="n">
        <v>0.9</v>
      </c>
      <c r="C32" s="23" t="n">
        <v>1</v>
      </c>
      <c r="D32" s="23" t="n">
        <v>1.1</v>
      </c>
      <c r="E32" s="6" t="s">
        <v>139</v>
      </c>
      <c r="F32" s="6" t="s">
        <v>105</v>
      </c>
      <c r="G32" s="3"/>
      <c r="H32" s="3"/>
      <c r="I32" s="3"/>
      <c r="J32" s="6" t="s">
        <v>165</v>
      </c>
      <c r="K32" s="3"/>
    </row>
    <row r="33" customFormat="false" ht="15" hidden="false" customHeight="false" outlineLevel="0" collapsed="false">
      <c r="A33" s="4" t="s">
        <v>166</v>
      </c>
      <c r="B33" s="23" t="n">
        <v>1.1</v>
      </c>
      <c r="C33" s="23" t="n">
        <v>1</v>
      </c>
      <c r="D33" s="23" t="n">
        <v>0.95</v>
      </c>
      <c r="E33" s="6" t="s">
        <v>139</v>
      </c>
      <c r="F33" s="6" t="s">
        <v>105</v>
      </c>
      <c r="G33" s="3"/>
      <c r="H33" s="3"/>
      <c r="I33" s="3"/>
      <c r="J33" s="6" t="s">
        <v>167</v>
      </c>
      <c r="K33" s="3"/>
    </row>
    <row r="34" customFormat="false" ht="15" hidden="false" customHeight="false" outlineLevel="0" collapsed="false">
      <c r="A34" s="4" t="s">
        <v>168</v>
      </c>
      <c r="B34" s="29" t="n">
        <v>1400</v>
      </c>
      <c r="C34" s="29" t="n">
        <v>1000</v>
      </c>
      <c r="D34" s="29" t="n">
        <v>750</v>
      </c>
      <c r="E34" s="6" t="s">
        <v>169</v>
      </c>
      <c r="F34" s="6" t="s">
        <v>131</v>
      </c>
      <c r="G34" s="3"/>
      <c r="H34" s="3"/>
      <c r="I34" s="3"/>
      <c r="J34" s="6" t="s">
        <v>170</v>
      </c>
      <c r="K34" s="3"/>
    </row>
    <row r="35" customFormat="false" ht="15" hidden="false" customHeight="false" outlineLevel="0" collapsed="false">
      <c r="A35" s="4" t="s">
        <v>171</v>
      </c>
      <c r="B35" s="24" t="n">
        <v>0.45</v>
      </c>
      <c r="C35" s="24" t="n">
        <v>0.55</v>
      </c>
      <c r="D35" s="24" t="n">
        <v>0.65</v>
      </c>
      <c r="E35" s="6" t="s">
        <v>104</v>
      </c>
      <c r="F35" s="6" t="s">
        <v>114</v>
      </c>
      <c r="G35" s="3"/>
      <c r="H35" s="3"/>
      <c r="I35" s="3"/>
      <c r="J35" s="6" t="s">
        <v>172</v>
      </c>
      <c r="K35" s="3"/>
    </row>
    <row r="36" customFormat="false" ht="15" hidden="false" customHeight="false" outlineLevel="0" collapsed="false">
      <c r="A36" s="4" t="s">
        <v>173</v>
      </c>
      <c r="B36" s="24" t="n">
        <v>0.4</v>
      </c>
      <c r="C36" s="24" t="n">
        <v>0.5</v>
      </c>
      <c r="D36" s="24" t="n">
        <v>0.6</v>
      </c>
      <c r="E36" s="6" t="s">
        <v>104</v>
      </c>
      <c r="F36" s="6" t="s">
        <v>114</v>
      </c>
      <c r="G36" s="3"/>
      <c r="H36" s="3"/>
      <c r="I36" s="3"/>
      <c r="J36" s="6" t="s">
        <v>174</v>
      </c>
      <c r="K36" s="3"/>
    </row>
    <row r="37" customFormat="false" ht="15" hidden="false" customHeight="false" outlineLevel="0" collapsed="false">
      <c r="A37" s="4" t="s">
        <v>175</v>
      </c>
      <c r="B37" s="24" t="n">
        <v>0.75</v>
      </c>
      <c r="C37" s="24" t="n">
        <v>0.85</v>
      </c>
      <c r="D37" s="24" t="n">
        <v>0.95</v>
      </c>
      <c r="E37" s="6" t="s">
        <v>104</v>
      </c>
      <c r="F37" s="6" t="s">
        <v>105</v>
      </c>
      <c r="G37" s="3"/>
      <c r="H37" s="3"/>
      <c r="I37" s="3"/>
      <c r="J37" s="6" t="s">
        <v>176</v>
      </c>
      <c r="K37" s="3"/>
    </row>
    <row r="38" customFormat="false" ht="15" hidden="false" customHeight="false" outlineLevel="0" collapsed="false">
      <c r="A38" s="4" t="s">
        <v>177</v>
      </c>
      <c r="B38" s="24" t="n">
        <v>0.65</v>
      </c>
      <c r="C38" s="24" t="n">
        <v>0.75</v>
      </c>
      <c r="D38" s="24" t="n">
        <v>0.85</v>
      </c>
      <c r="E38" s="6" t="s">
        <v>104</v>
      </c>
      <c r="F38" s="6" t="s">
        <v>105</v>
      </c>
      <c r="G38" s="3"/>
      <c r="H38" s="3"/>
      <c r="I38" s="3"/>
      <c r="J38" s="6"/>
      <c r="K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false" outlineLevel="0" collapsed="false">
      <c r="A40" s="7" t="s">
        <v>178</v>
      </c>
      <c r="B40" s="8"/>
      <c r="C40" s="8"/>
      <c r="D40" s="8"/>
      <c r="E40" s="8"/>
      <c r="F40" s="8"/>
      <c r="G40" s="8"/>
      <c r="H40" s="8"/>
      <c r="I40" s="8"/>
      <c r="J40" s="8"/>
      <c r="K40" s="3"/>
    </row>
    <row r="41" customFormat="false" ht="42" hidden="false" customHeight="true" outlineLevel="0" collapsed="false">
      <c r="A41" s="14" t="s">
        <v>91</v>
      </c>
      <c r="B41" s="9" t="s">
        <v>58</v>
      </c>
      <c r="C41" s="9" t="s">
        <v>59</v>
      </c>
      <c r="D41" s="9" t="s">
        <v>60</v>
      </c>
      <c r="E41" s="9" t="s">
        <v>61</v>
      </c>
      <c r="F41" s="9" t="s">
        <v>62</v>
      </c>
      <c r="G41" s="9" t="s">
        <v>63</v>
      </c>
      <c r="H41" s="14" t="s">
        <v>93</v>
      </c>
      <c r="I41" s="14" t="s">
        <v>94</v>
      </c>
      <c r="J41" s="14" t="s">
        <v>95</v>
      </c>
      <c r="K41" s="3"/>
    </row>
    <row r="42" customFormat="false" ht="15" hidden="false" customHeight="false" outlineLevel="0" collapsed="false">
      <c r="A42" s="5" t="s">
        <v>179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false" outlineLevel="0" collapsed="false">
      <c r="A43" s="4" t="s">
        <v>180</v>
      </c>
      <c r="B43" s="28" t="n">
        <v>36</v>
      </c>
      <c r="C43" s="28" t="n">
        <v>36</v>
      </c>
      <c r="D43" s="28" t="n">
        <v>24</v>
      </c>
      <c r="E43" s="28" t="n">
        <v>24</v>
      </c>
      <c r="F43" s="28" t="n">
        <v>20</v>
      </c>
      <c r="G43" s="28" t="n">
        <v>18</v>
      </c>
      <c r="H43" s="6" t="s">
        <v>181</v>
      </c>
      <c r="I43" s="6" t="s">
        <v>105</v>
      </c>
      <c r="J43" s="30" t="s">
        <v>182</v>
      </c>
      <c r="K43" s="3"/>
    </row>
    <row r="44" customFormat="false" ht="15" hidden="false" customHeight="false" outlineLevel="0" collapsed="false">
      <c r="A44" s="4" t="s">
        <v>183</v>
      </c>
      <c r="B44" s="28" t="n">
        <v>72</v>
      </c>
      <c r="C44" s="28" t="n">
        <v>72</v>
      </c>
      <c r="D44" s="28" t="n">
        <v>48</v>
      </c>
      <c r="E44" s="28" t="n">
        <v>48</v>
      </c>
      <c r="F44" s="28" t="n">
        <v>40</v>
      </c>
      <c r="G44" s="28" t="n">
        <v>36</v>
      </c>
      <c r="H44" s="6" t="s">
        <v>184</v>
      </c>
      <c r="I44" s="6" t="s">
        <v>105</v>
      </c>
      <c r="J44" s="30"/>
      <c r="K44" s="3"/>
    </row>
    <row r="45" customFormat="false" ht="15" hidden="false" customHeight="false" outlineLevel="0" collapsed="false">
      <c r="A45" s="4" t="s">
        <v>185</v>
      </c>
      <c r="B45" s="28" t="n">
        <v>28</v>
      </c>
      <c r="C45" s="28" t="n">
        <v>28</v>
      </c>
      <c r="D45" s="28" t="n">
        <v>20</v>
      </c>
      <c r="E45" s="28" t="n">
        <v>20</v>
      </c>
      <c r="F45" s="28" t="n">
        <v>17</v>
      </c>
      <c r="G45" s="28" t="n">
        <v>16</v>
      </c>
      <c r="H45" s="6" t="s">
        <v>186</v>
      </c>
      <c r="I45" s="6" t="s">
        <v>114</v>
      </c>
      <c r="J45" s="30" t="s">
        <v>187</v>
      </c>
      <c r="K45" s="3"/>
    </row>
    <row r="46" customFormat="false" ht="15" hidden="false" customHeight="false" outlineLevel="0" collapsed="false">
      <c r="A46" s="4" t="s">
        <v>188</v>
      </c>
      <c r="B46" s="28" t="n">
        <v>62</v>
      </c>
      <c r="C46" s="28" t="n">
        <v>64</v>
      </c>
      <c r="D46" s="28" t="n">
        <v>50</v>
      </c>
      <c r="E46" s="28" t="n">
        <v>47</v>
      </c>
      <c r="F46" s="28" t="n">
        <v>45</v>
      </c>
      <c r="G46" s="28" t="n">
        <v>63</v>
      </c>
      <c r="H46" s="6" t="s">
        <v>189</v>
      </c>
      <c r="I46" s="6" t="s">
        <v>114</v>
      </c>
      <c r="J46" s="30" t="s">
        <v>190</v>
      </c>
      <c r="K46" s="3"/>
    </row>
    <row r="47" customFormat="false" ht="15" hidden="false" customHeight="false" outlineLevel="0" collapsed="false">
      <c r="A47" s="5" t="s">
        <v>30</v>
      </c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false" outlineLevel="0" collapsed="false">
      <c r="A48" s="4" t="s">
        <v>191</v>
      </c>
      <c r="B48" s="31" t="n">
        <f aca="false">CAPEX_Construcao!$C$9</f>
        <v>41850000</v>
      </c>
      <c r="C48" s="32" t="n">
        <v>17000000</v>
      </c>
      <c r="D48" s="32" t="n">
        <v>28000000</v>
      </c>
      <c r="E48" s="32" t="n">
        <v>7000000</v>
      </c>
      <c r="F48" s="32" t="n">
        <v>24000000</v>
      </c>
      <c r="G48" s="32" t="n">
        <v>8300000</v>
      </c>
      <c r="H48" s="6" t="s">
        <v>192</v>
      </c>
      <c r="I48" s="6" t="s">
        <v>193</v>
      </c>
      <c r="J48" s="30" t="s">
        <v>194</v>
      </c>
      <c r="K48" s="3"/>
    </row>
    <row r="49" customFormat="false" ht="15" hidden="false" customHeight="false" outlineLevel="0" collapsed="false">
      <c r="A49" s="4" t="s">
        <v>195</v>
      </c>
      <c r="B49" s="26" t="n">
        <v>0</v>
      </c>
      <c r="C49" s="26" t="n">
        <v>3000000</v>
      </c>
      <c r="D49" s="26" t="n">
        <v>0</v>
      </c>
      <c r="E49" s="26" t="n">
        <v>2500000</v>
      </c>
      <c r="F49" s="26" t="n">
        <v>0</v>
      </c>
      <c r="G49" s="26" t="n">
        <v>1000000</v>
      </c>
      <c r="H49" s="6" t="s">
        <v>192</v>
      </c>
      <c r="I49" s="6" t="s">
        <v>114</v>
      </c>
      <c r="J49" s="30" t="s">
        <v>196</v>
      </c>
      <c r="K49" s="3"/>
    </row>
    <row r="50" customFormat="false" ht="15" hidden="false" customHeight="false" outlineLevel="0" collapsed="false">
      <c r="A50" s="4" t="s">
        <v>197</v>
      </c>
      <c r="B50" s="11" t="n">
        <f aca="false">CAPEX_Construcao!$G$27</f>
        <v>0.08</v>
      </c>
      <c r="C50" s="24" t="n">
        <v>0.2</v>
      </c>
      <c r="D50" s="24" t="n">
        <v>0.08</v>
      </c>
      <c r="E50" s="24" t="n">
        <v>0.2</v>
      </c>
      <c r="F50" s="24" t="n">
        <v>0.08</v>
      </c>
      <c r="G50" s="24" t="n">
        <v>0.2</v>
      </c>
      <c r="H50" s="6" t="s">
        <v>104</v>
      </c>
      <c r="I50" s="6" t="s">
        <v>114</v>
      </c>
      <c r="J50" s="30" t="s">
        <v>198</v>
      </c>
      <c r="K50" s="3"/>
    </row>
    <row r="51" customFormat="false" ht="15" hidden="false" customHeight="false" outlineLevel="0" collapsed="false">
      <c r="A51" s="4" t="s">
        <v>199</v>
      </c>
      <c r="B51" s="20" t="n">
        <f aca="false">CAPEX_Construcao!$C$28+CAPEX_Construcao!$C$29</f>
        <v>2511000</v>
      </c>
      <c r="C51" s="26" t="n">
        <v>800000</v>
      </c>
      <c r="D51" s="26" t="n">
        <v>1700000</v>
      </c>
      <c r="E51" s="26" t="n">
        <v>600000</v>
      </c>
      <c r="F51" s="26" t="n">
        <v>1450000</v>
      </c>
      <c r="G51" s="26" t="n">
        <v>500000</v>
      </c>
      <c r="H51" s="6" t="s">
        <v>192</v>
      </c>
      <c r="I51" s="6" t="s">
        <v>114</v>
      </c>
      <c r="J51" s="30" t="s">
        <v>200</v>
      </c>
      <c r="K51" s="3"/>
    </row>
    <row r="52" customFormat="false" ht="15" hidden="false" customHeight="false" outlineLevel="0" collapsed="false">
      <c r="A52" s="14" t="s">
        <v>201</v>
      </c>
      <c r="B52" s="33" t="n">
        <f aca="false">B48+B49+IF(B49&gt;0,B49,B48)*B50+B51</f>
        <v>47709000</v>
      </c>
      <c r="C52" s="33" t="n">
        <f aca="false">C48+C49+IF(C49&gt;0,C49,C48)*C50+C51</f>
        <v>21400000</v>
      </c>
      <c r="D52" s="33" t="n">
        <f aca="false">D48+D49+IF(D49&gt;0,D49,D48)*D50+D51</f>
        <v>31940000</v>
      </c>
      <c r="E52" s="33" t="n">
        <f aca="false">E48+E49+IF(E49&gt;0,E49,E48)*E50+E51</f>
        <v>10600000</v>
      </c>
      <c r="F52" s="33" t="n">
        <f aca="false">F48+F49+IF(F49&gt;0,F49,F48)*F50+F51</f>
        <v>27370000</v>
      </c>
      <c r="G52" s="33" t="n">
        <f aca="false">G48+G49+IF(G49&gt;0,G49,G48)*G50+G51</f>
        <v>10000000</v>
      </c>
      <c r="H52" s="6" t="s">
        <v>192</v>
      </c>
      <c r="I52" s="6" t="s">
        <v>202</v>
      </c>
      <c r="J52" s="30" t="s">
        <v>203</v>
      </c>
      <c r="K52" s="3"/>
    </row>
    <row r="53" customFormat="false" ht="15" hidden="false" customHeight="false" outlineLevel="0" collapsed="false">
      <c r="A53" s="4" t="s">
        <v>204</v>
      </c>
      <c r="B53" s="24" t="n">
        <v>0.2</v>
      </c>
      <c r="C53" s="24" t="n">
        <v>0</v>
      </c>
      <c r="D53" s="24" t="n">
        <v>0.2</v>
      </c>
      <c r="E53" s="24" t="n">
        <v>0</v>
      </c>
      <c r="F53" s="24" t="n">
        <v>0.2</v>
      </c>
      <c r="G53" s="24" t="n">
        <v>0</v>
      </c>
      <c r="H53" s="6" t="s">
        <v>104</v>
      </c>
      <c r="I53" s="6" t="s">
        <v>114</v>
      </c>
      <c r="J53" s="30" t="s">
        <v>205</v>
      </c>
      <c r="K53" s="3"/>
    </row>
    <row r="54" customFormat="false" ht="15" hidden="false" customHeight="false" outlineLevel="0" collapsed="false">
      <c r="A54" s="4" t="s">
        <v>206</v>
      </c>
      <c r="B54" s="24" t="n">
        <v>0.2</v>
      </c>
      <c r="C54" s="24" t="n">
        <v>0</v>
      </c>
      <c r="D54" s="24" t="n">
        <v>0.2</v>
      </c>
      <c r="E54" s="24" t="n">
        <v>0</v>
      </c>
      <c r="F54" s="24" t="n">
        <v>0.2</v>
      </c>
      <c r="G54" s="24" t="n">
        <v>0</v>
      </c>
      <c r="H54" s="6" t="s">
        <v>104</v>
      </c>
      <c r="I54" s="6" t="s">
        <v>114</v>
      </c>
      <c r="J54" s="30"/>
      <c r="K54" s="3"/>
    </row>
    <row r="55" customFormat="false" ht="15" hidden="false" customHeight="false" outlineLevel="0" collapsed="false">
      <c r="A55" s="4" t="s">
        <v>207</v>
      </c>
      <c r="B55" s="24" t="n">
        <v>0.6</v>
      </c>
      <c r="C55" s="24" t="n">
        <v>1</v>
      </c>
      <c r="D55" s="24" t="n">
        <v>0.6</v>
      </c>
      <c r="E55" s="24" t="n">
        <v>1</v>
      </c>
      <c r="F55" s="24" t="n">
        <v>0.6</v>
      </c>
      <c r="G55" s="24" t="n">
        <v>1</v>
      </c>
      <c r="H55" s="6" t="s">
        <v>104</v>
      </c>
      <c r="I55" s="6" t="s">
        <v>114</v>
      </c>
      <c r="J55" s="30"/>
      <c r="K55" s="3"/>
    </row>
    <row r="56" customFormat="false" ht="15" hidden="false" customHeight="false" outlineLevel="0" collapsed="false">
      <c r="A56" s="5" t="s">
        <v>208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false" outlineLevel="0" collapsed="false">
      <c r="A57" s="4" t="s">
        <v>209</v>
      </c>
      <c r="B57" s="20" t="n">
        <f aca="false">Tripulacao!$F$31</f>
        <v>1587500</v>
      </c>
      <c r="C57" s="20" t="n">
        <f aca="false">Tripulacao!$F$31</f>
        <v>1587500</v>
      </c>
      <c r="D57" s="20" t="n">
        <f aca="false">Tripulacao!$F$55</f>
        <v>1188466</v>
      </c>
      <c r="E57" s="20" t="n">
        <f aca="false">Tripulacao!$F$55</f>
        <v>1188466</v>
      </c>
      <c r="F57" s="20" t="n">
        <f aca="false">Tripulacao!$F$76</f>
        <v>1017524</v>
      </c>
      <c r="G57" s="20" t="n">
        <f aca="false">Tripulacao!$F$76</f>
        <v>1017524</v>
      </c>
      <c r="H57" s="6" t="s">
        <v>210</v>
      </c>
      <c r="I57" s="6" t="s">
        <v>211</v>
      </c>
      <c r="J57" s="30" t="s">
        <v>212</v>
      </c>
      <c r="K57" s="3"/>
    </row>
    <row r="58" customFormat="false" ht="15" hidden="false" customHeight="false" outlineLevel="0" collapsed="false">
      <c r="A58" s="4" t="s">
        <v>213</v>
      </c>
      <c r="B58" s="34" t="n">
        <f aca="false">B52*Premissas!$B$18</f>
        <v>381672</v>
      </c>
      <c r="C58" s="34" t="n">
        <f aca="false">C52*Premissas!$B$18</f>
        <v>171200</v>
      </c>
      <c r="D58" s="34" t="n">
        <f aca="false">D52*Premissas!$B$18</f>
        <v>255520</v>
      </c>
      <c r="E58" s="34" t="n">
        <f aca="false">E52*Premissas!$B$18</f>
        <v>84800</v>
      </c>
      <c r="F58" s="34" t="n">
        <f aca="false">F52*Premissas!$B$18</f>
        <v>218960</v>
      </c>
      <c r="G58" s="34" t="n">
        <f aca="false">G52*Premissas!$B$18</f>
        <v>80000</v>
      </c>
      <c r="H58" s="6" t="s">
        <v>210</v>
      </c>
      <c r="I58" s="6" t="s">
        <v>202</v>
      </c>
      <c r="J58" s="30" t="s">
        <v>214</v>
      </c>
      <c r="K58" s="3"/>
    </row>
    <row r="59" customFormat="false" ht="15" hidden="false" customHeight="false" outlineLevel="0" collapsed="false">
      <c r="A59" s="4" t="s">
        <v>215</v>
      </c>
      <c r="B59" s="26" t="n">
        <v>125000</v>
      </c>
      <c r="C59" s="26" t="n">
        <v>125000</v>
      </c>
      <c r="D59" s="26" t="n">
        <v>90000</v>
      </c>
      <c r="E59" s="26" t="n">
        <v>90000</v>
      </c>
      <c r="F59" s="26" t="n">
        <v>75000</v>
      </c>
      <c r="G59" s="26" t="n">
        <v>75000</v>
      </c>
      <c r="H59" s="6" t="s">
        <v>210</v>
      </c>
      <c r="I59" s="6" t="s">
        <v>114</v>
      </c>
      <c r="J59" s="30" t="s">
        <v>216</v>
      </c>
      <c r="K59" s="3"/>
    </row>
    <row r="60" customFormat="false" ht="15" hidden="false" customHeight="false" outlineLevel="0" collapsed="false">
      <c r="A60" s="4" t="s">
        <v>217</v>
      </c>
      <c r="B60" s="26" t="n">
        <v>450000</v>
      </c>
      <c r="C60" s="26" t="n">
        <v>700000</v>
      </c>
      <c r="D60" s="26" t="n">
        <v>320000</v>
      </c>
      <c r="E60" s="26" t="n">
        <v>450000</v>
      </c>
      <c r="F60" s="26" t="n">
        <v>270000</v>
      </c>
      <c r="G60" s="26" t="n">
        <v>300000</v>
      </c>
      <c r="H60" s="6" t="s">
        <v>210</v>
      </c>
      <c r="I60" s="6" t="s">
        <v>114</v>
      </c>
      <c r="J60" s="30" t="s">
        <v>218</v>
      </c>
      <c r="K60" s="3"/>
    </row>
    <row r="61" customFormat="false" ht="15" hidden="false" customHeight="false" outlineLevel="0" collapsed="false">
      <c r="A61" s="4" t="s">
        <v>219</v>
      </c>
      <c r="B61" s="26" t="n">
        <v>280000</v>
      </c>
      <c r="C61" s="26" t="n">
        <v>280000</v>
      </c>
      <c r="D61" s="26" t="n">
        <v>230000</v>
      </c>
      <c r="E61" s="26" t="n">
        <v>230000</v>
      </c>
      <c r="F61" s="26" t="n">
        <v>220000</v>
      </c>
      <c r="G61" s="26" t="n">
        <v>220000</v>
      </c>
      <c r="H61" s="6" t="s">
        <v>210</v>
      </c>
      <c r="I61" s="6" t="s">
        <v>114</v>
      </c>
      <c r="J61" s="30" t="s">
        <v>220</v>
      </c>
      <c r="K61" s="3"/>
    </row>
    <row r="62" customFormat="false" ht="15" hidden="false" customHeight="false" outlineLevel="0" collapsed="false">
      <c r="A62" s="4" t="s">
        <v>221</v>
      </c>
      <c r="B62" s="26" t="n">
        <v>80000</v>
      </c>
      <c r="C62" s="26" t="n">
        <v>80000</v>
      </c>
      <c r="D62" s="26" t="n">
        <v>60000</v>
      </c>
      <c r="E62" s="26" t="n">
        <v>60000</v>
      </c>
      <c r="F62" s="26" t="n">
        <v>50000</v>
      </c>
      <c r="G62" s="26" t="n">
        <v>50000</v>
      </c>
      <c r="H62" s="6" t="s">
        <v>210</v>
      </c>
      <c r="I62" s="6" t="s">
        <v>114</v>
      </c>
      <c r="J62" s="30" t="s">
        <v>222</v>
      </c>
      <c r="K62" s="3"/>
    </row>
    <row r="63" customFormat="false" ht="15" hidden="false" customHeight="false" outlineLevel="0" collapsed="false">
      <c r="A63" s="4" t="s">
        <v>223</v>
      </c>
      <c r="B63" s="26" t="n">
        <v>60000</v>
      </c>
      <c r="C63" s="26" t="n">
        <v>60000</v>
      </c>
      <c r="D63" s="26" t="n">
        <v>45000</v>
      </c>
      <c r="E63" s="26" t="n">
        <v>45000</v>
      </c>
      <c r="F63" s="26" t="n">
        <v>40000</v>
      </c>
      <c r="G63" s="26" t="n">
        <v>40000</v>
      </c>
      <c r="H63" s="6" t="s">
        <v>210</v>
      </c>
      <c r="I63" s="6" t="s">
        <v>224</v>
      </c>
      <c r="J63" s="30" t="s">
        <v>225</v>
      </c>
      <c r="K63" s="3"/>
    </row>
    <row r="64" customFormat="false" ht="15" hidden="false" customHeight="false" outlineLevel="0" collapsed="false">
      <c r="A64" s="4" t="s">
        <v>226</v>
      </c>
      <c r="B64" s="26" t="n">
        <v>80000</v>
      </c>
      <c r="C64" s="26" t="n">
        <v>80000</v>
      </c>
      <c r="D64" s="26" t="n">
        <v>65000</v>
      </c>
      <c r="E64" s="26" t="n">
        <v>65000</v>
      </c>
      <c r="F64" s="26" t="n">
        <v>55000</v>
      </c>
      <c r="G64" s="26" t="n">
        <v>55000</v>
      </c>
      <c r="H64" s="6" t="s">
        <v>210</v>
      </c>
      <c r="I64" s="6" t="s">
        <v>114</v>
      </c>
      <c r="J64" s="30" t="s">
        <v>227</v>
      </c>
      <c r="K64" s="3"/>
    </row>
    <row r="65" customFormat="false" ht="15" hidden="false" customHeight="false" outlineLevel="0" collapsed="false">
      <c r="A65" s="4" t="s">
        <v>228</v>
      </c>
      <c r="B65" s="26" t="n">
        <v>80000</v>
      </c>
      <c r="C65" s="26" t="n">
        <v>100000</v>
      </c>
      <c r="D65" s="26" t="n">
        <v>55000</v>
      </c>
      <c r="E65" s="26" t="n">
        <v>70000</v>
      </c>
      <c r="F65" s="26" t="n">
        <v>45000</v>
      </c>
      <c r="G65" s="26" t="n">
        <v>50000</v>
      </c>
      <c r="H65" s="6" t="s">
        <v>210</v>
      </c>
      <c r="I65" s="6" t="s">
        <v>114</v>
      </c>
      <c r="J65" s="30" t="s">
        <v>229</v>
      </c>
      <c r="K65" s="3"/>
    </row>
    <row r="66" customFormat="false" ht="15" hidden="false" customHeight="false" outlineLevel="0" collapsed="false">
      <c r="A66" s="4" t="s">
        <v>230</v>
      </c>
      <c r="B66" s="26" t="n">
        <v>120000</v>
      </c>
      <c r="C66" s="26" t="n">
        <v>120000</v>
      </c>
      <c r="D66" s="26" t="n">
        <v>90000</v>
      </c>
      <c r="E66" s="26" t="n">
        <v>90000</v>
      </c>
      <c r="F66" s="26" t="n">
        <v>80000</v>
      </c>
      <c r="G66" s="26" t="n">
        <v>80000</v>
      </c>
      <c r="H66" s="6" t="s">
        <v>210</v>
      </c>
      <c r="I66" s="6" t="s">
        <v>105</v>
      </c>
      <c r="J66" s="30" t="s">
        <v>231</v>
      </c>
      <c r="K66" s="3"/>
    </row>
    <row r="67" customFormat="false" ht="15" hidden="false" customHeight="false" outlineLevel="0" collapsed="false">
      <c r="A67" s="4" t="s">
        <v>232</v>
      </c>
      <c r="B67" s="26" t="n">
        <v>150000</v>
      </c>
      <c r="C67" s="26" t="n">
        <v>150000</v>
      </c>
      <c r="D67" s="26" t="n">
        <v>130000</v>
      </c>
      <c r="E67" s="26" t="n">
        <v>130000</v>
      </c>
      <c r="F67" s="26" t="n">
        <v>120000</v>
      </c>
      <c r="G67" s="26" t="n">
        <v>120000</v>
      </c>
      <c r="H67" s="6" t="s">
        <v>210</v>
      </c>
      <c r="I67" s="6" t="s">
        <v>105</v>
      </c>
      <c r="J67" s="30"/>
      <c r="K67" s="3"/>
    </row>
    <row r="68" customFormat="false" ht="15" hidden="false" customHeight="false" outlineLevel="0" collapsed="false">
      <c r="A68" s="14" t="s">
        <v>233</v>
      </c>
      <c r="B68" s="33" t="n">
        <f aca="false">SUM(B57:B67)</f>
        <v>3394172</v>
      </c>
      <c r="C68" s="33" t="n">
        <f aca="false">SUM(C57:C67)</f>
        <v>3453700</v>
      </c>
      <c r="D68" s="33" t="n">
        <f aca="false">SUM(D57:D67)</f>
        <v>2528986</v>
      </c>
      <c r="E68" s="33" t="n">
        <f aca="false">SUM(E57:E67)</f>
        <v>2503266</v>
      </c>
      <c r="F68" s="33" t="n">
        <f aca="false">SUM(F57:F67)</f>
        <v>2191484</v>
      </c>
      <c r="G68" s="33" t="n">
        <f aca="false">SUM(G57:G67)</f>
        <v>2087524</v>
      </c>
      <c r="H68" s="6" t="s">
        <v>210</v>
      </c>
      <c r="I68" s="6" t="s">
        <v>202</v>
      </c>
      <c r="J68" s="30"/>
      <c r="K68" s="3"/>
    </row>
    <row r="69" customFormat="false" ht="15" hidden="false" customHeight="false" outlineLevel="0" collapsed="false">
      <c r="A69" s="5" t="s">
        <v>234</v>
      </c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false" outlineLevel="0" collapsed="false">
      <c r="A70" s="4" t="s">
        <v>235</v>
      </c>
      <c r="B70" s="35" t="n">
        <v>25</v>
      </c>
      <c r="C70" s="35" t="n">
        <v>25</v>
      </c>
      <c r="D70" s="35" t="n">
        <v>18</v>
      </c>
      <c r="E70" s="35" t="n">
        <v>18</v>
      </c>
      <c r="F70" s="35" t="n">
        <v>16</v>
      </c>
      <c r="G70" s="35" t="n">
        <v>15</v>
      </c>
      <c r="H70" s="6" t="s">
        <v>236</v>
      </c>
      <c r="I70" s="6" t="s">
        <v>114</v>
      </c>
      <c r="J70" s="30" t="s">
        <v>237</v>
      </c>
      <c r="K70" s="3"/>
    </row>
    <row r="71" customFormat="false" ht="15" hidden="false" customHeight="false" outlineLevel="0" collapsed="false">
      <c r="A71" s="4" t="s">
        <v>238</v>
      </c>
      <c r="B71" s="36" t="n">
        <f aca="false">B44*7*Premissas!$B$14*Premissas!$B$15</f>
        <v>24948</v>
      </c>
      <c r="C71" s="36" t="n">
        <f aca="false">C44*7*Premissas!$B$14*Premissas!$B$15</f>
        <v>24948</v>
      </c>
      <c r="D71" s="36" t="n">
        <f aca="false">D44*7*Premissas!$B$14*Premissas!$B$15</f>
        <v>16632</v>
      </c>
      <c r="E71" s="36" t="n">
        <f aca="false">E44*7*Premissas!$B$14*Premissas!$B$15</f>
        <v>16632</v>
      </c>
      <c r="F71" s="36" t="n">
        <f aca="false">F44*7*Premissas!$B$14*Premissas!$B$15</f>
        <v>13860</v>
      </c>
      <c r="G71" s="36" t="n">
        <f aca="false">G44*7*Premissas!$B$14*Premissas!$B$15</f>
        <v>12474</v>
      </c>
      <c r="H71" s="6" t="s">
        <v>239</v>
      </c>
      <c r="I71" s="6" t="s">
        <v>202</v>
      </c>
      <c r="J71" s="30" t="s">
        <v>240</v>
      </c>
      <c r="K71" s="3"/>
    </row>
    <row r="72" customFormat="false" ht="15" hidden="false" customHeight="false" outlineLevel="0" collapsed="false">
      <c r="A72" s="4" t="s">
        <v>241</v>
      </c>
      <c r="B72" s="36" t="n">
        <f aca="false">B44*7*Premissas!$B$14*Premissas!$B$16</f>
        <v>4536</v>
      </c>
      <c r="C72" s="36" t="n">
        <f aca="false">C44*7*Premissas!$B$14*Premissas!$B$16</f>
        <v>4536</v>
      </c>
      <c r="D72" s="36" t="n">
        <f aca="false">D44*7*Premissas!$B$14*Premissas!$B$16</f>
        <v>3024</v>
      </c>
      <c r="E72" s="36" t="n">
        <f aca="false">E44*7*Premissas!$B$14*Premissas!$B$16</f>
        <v>3024</v>
      </c>
      <c r="F72" s="36" t="n">
        <f aca="false">F44*7*Premissas!$B$14*Premissas!$B$16</f>
        <v>2520</v>
      </c>
      <c r="G72" s="36" t="n">
        <f aca="false">G44*7*Premissas!$B$14*Premissas!$B$16</f>
        <v>2268</v>
      </c>
      <c r="H72" s="6" t="s">
        <v>239</v>
      </c>
      <c r="I72" s="6" t="s">
        <v>202</v>
      </c>
      <c r="J72" s="30"/>
      <c r="K72" s="3"/>
    </row>
    <row r="73" customFormat="false" ht="15" hidden="false" customHeight="false" outlineLevel="0" collapsed="false">
      <c r="A73" s="4" t="s">
        <v>242</v>
      </c>
      <c r="B73" s="36" t="n">
        <f aca="false">B45*7*Premissas!$B$17</f>
        <v>2548</v>
      </c>
      <c r="C73" s="36" t="n">
        <f aca="false">C45*7*Premissas!$B$17</f>
        <v>2548</v>
      </c>
      <c r="D73" s="36" t="n">
        <f aca="false">D45*7*Premissas!$B$17</f>
        <v>1820</v>
      </c>
      <c r="E73" s="36" t="n">
        <f aca="false">E45*7*Premissas!$B$17</f>
        <v>1820</v>
      </c>
      <c r="F73" s="36" t="n">
        <f aca="false">F45*7*Premissas!$B$17</f>
        <v>1547</v>
      </c>
      <c r="G73" s="36" t="n">
        <f aca="false">G45*7*Premissas!$B$17</f>
        <v>1456</v>
      </c>
      <c r="H73" s="6" t="s">
        <v>239</v>
      </c>
      <c r="I73" s="6" t="s">
        <v>202</v>
      </c>
      <c r="J73" s="30"/>
      <c r="K73" s="3"/>
    </row>
    <row r="74" customFormat="false" ht="15" hidden="false" customHeight="false" outlineLevel="0" collapsed="false">
      <c r="A74" s="4" t="s">
        <v>243</v>
      </c>
      <c r="B74" s="26" t="n">
        <v>1500</v>
      </c>
      <c r="C74" s="26" t="n">
        <v>1500</v>
      </c>
      <c r="D74" s="26" t="n">
        <v>1200</v>
      </c>
      <c r="E74" s="26" t="n">
        <v>1200</v>
      </c>
      <c r="F74" s="26" t="n">
        <v>1000</v>
      </c>
      <c r="G74" s="26" t="n">
        <v>1000</v>
      </c>
      <c r="H74" s="6" t="s">
        <v>239</v>
      </c>
      <c r="I74" s="6" t="s">
        <v>114</v>
      </c>
      <c r="J74" s="30"/>
      <c r="K74" s="3"/>
    </row>
    <row r="75" customFormat="false" ht="15" hidden="false" customHeight="false" outlineLevel="0" collapsed="false">
      <c r="A75" s="14" t="s">
        <v>244</v>
      </c>
      <c r="B75" s="33" t="n">
        <f aca="false">SUM(B71:B74)</f>
        <v>33532</v>
      </c>
      <c r="C75" s="33" t="n">
        <f aca="false">SUM(C71:C74)</f>
        <v>33532</v>
      </c>
      <c r="D75" s="33" t="n">
        <f aca="false">SUM(D71:D74)</f>
        <v>22676</v>
      </c>
      <c r="E75" s="33" t="n">
        <f aca="false">SUM(E71:E74)</f>
        <v>22676</v>
      </c>
      <c r="F75" s="33" t="n">
        <f aca="false">SUM(F71:F74)</f>
        <v>18927</v>
      </c>
      <c r="G75" s="33" t="n">
        <f aca="false">SUM(G71:G74)</f>
        <v>17198</v>
      </c>
      <c r="H75" s="6" t="s">
        <v>239</v>
      </c>
      <c r="I75" s="6" t="s">
        <v>202</v>
      </c>
      <c r="J75" s="30" t="s">
        <v>245</v>
      </c>
      <c r="K75" s="3"/>
    </row>
    <row r="76" customFormat="false" ht="15" hidden="false" customHeight="false" outlineLevel="0" collapsed="false">
      <c r="A76" s="5" t="s">
        <v>246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" hidden="false" customHeight="false" outlineLevel="0" collapsed="false">
      <c r="A77" s="4" t="s">
        <v>247</v>
      </c>
      <c r="B77" s="32" t="n">
        <v>300000</v>
      </c>
      <c r="C77" s="32" t="n">
        <v>270000</v>
      </c>
      <c r="D77" s="32" t="n">
        <v>170000</v>
      </c>
      <c r="E77" s="32" t="n">
        <v>150000</v>
      </c>
      <c r="F77" s="32" t="n">
        <v>120000</v>
      </c>
      <c r="G77" s="32" t="n">
        <v>105000</v>
      </c>
      <c r="H77" s="6" t="s">
        <v>239</v>
      </c>
      <c r="I77" s="6" t="s">
        <v>248</v>
      </c>
      <c r="J77" s="30" t="s">
        <v>249</v>
      </c>
      <c r="K77" s="3"/>
    </row>
    <row r="78" customFormat="false" ht="15" hidden="false" customHeight="false" outlineLevel="0" collapsed="false">
      <c r="A78" s="4" t="s">
        <v>250</v>
      </c>
      <c r="B78" s="26" t="n">
        <v>4800</v>
      </c>
      <c r="C78" s="26" t="n">
        <v>4300</v>
      </c>
      <c r="D78" s="26" t="n">
        <v>4500</v>
      </c>
      <c r="E78" s="26" t="n">
        <v>4000</v>
      </c>
      <c r="F78" s="26" t="n">
        <v>4200</v>
      </c>
      <c r="G78" s="26" t="n">
        <v>3600</v>
      </c>
      <c r="H78" s="6" t="s">
        <v>251</v>
      </c>
      <c r="I78" s="6" t="s">
        <v>248</v>
      </c>
      <c r="J78" s="30" t="s">
        <v>252</v>
      </c>
      <c r="K78" s="3"/>
    </row>
    <row r="79" customFormat="false" ht="15" hidden="false" customHeight="false" outlineLevel="0" collapsed="false">
      <c r="A79" s="5" t="s">
        <v>253</v>
      </c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false" outlineLevel="0" collapsed="false">
      <c r="A80" s="4" t="s">
        <v>254</v>
      </c>
      <c r="B80" s="26" t="n">
        <v>350000</v>
      </c>
      <c r="C80" s="26" t="n">
        <v>450000</v>
      </c>
      <c r="D80" s="26" t="n">
        <v>250000</v>
      </c>
      <c r="E80" s="26" t="n">
        <v>350000</v>
      </c>
      <c r="F80" s="26" t="n">
        <v>220000</v>
      </c>
      <c r="G80" s="26" t="n">
        <v>250000</v>
      </c>
      <c r="H80" s="6" t="s">
        <v>192</v>
      </c>
      <c r="I80" s="6" t="s">
        <v>114</v>
      </c>
      <c r="J80" s="30" t="s">
        <v>255</v>
      </c>
      <c r="K80" s="3"/>
    </row>
    <row r="81" customFormat="false" ht="15" hidden="false" customHeight="false" outlineLevel="0" collapsed="false">
      <c r="A81" s="4" t="s">
        <v>256</v>
      </c>
      <c r="B81" s="26" t="n">
        <v>800000</v>
      </c>
      <c r="C81" s="26" t="n">
        <v>1000000</v>
      </c>
      <c r="D81" s="26" t="n">
        <v>600000</v>
      </c>
      <c r="E81" s="26" t="n">
        <v>750000</v>
      </c>
      <c r="F81" s="26" t="n">
        <v>500000</v>
      </c>
      <c r="G81" s="26" t="n">
        <v>550000</v>
      </c>
      <c r="H81" s="6" t="s">
        <v>192</v>
      </c>
      <c r="I81" s="6" t="s">
        <v>114</v>
      </c>
      <c r="J81" s="30" t="s">
        <v>257</v>
      </c>
      <c r="K81" s="3"/>
    </row>
    <row r="82" customFormat="false" ht="15" hidden="false" customHeight="false" outlineLevel="0" collapsed="false">
      <c r="A82" s="4" t="s">
        <v>258</v>
      </c>
      <c r="B82" s="26" t="n">
        <v>400000</v>
      </c>
      <c r="C82" s="26" t="n">
        <v>500000</v>
      </c>
      <c r="D82" s="26" t="n">
        <v>300000</v>
      </c>
      <c r="E82" s="26" t="n">
        <v>400000</v>
      </c>
      <c r="F82" s="26" t="n">
        <v>250000</v>
      </c>
      <c r="G82" s="26" t="n">
        <v>300000</v>
      </c>
      <c r="H82" s="6" t="s">
        <v>192</v>
      </c>
      <c r="I82" s="6" t="s">
        <v>114</v>
      </c>
      <c r="J82" s="30"/>
      <c r="K82" s="3"/>
    </row>
    <row r="83" customFormat="false" ht="15" hidden="false" customHeight="false" outlineLevel="0" collapsed="false">
      <c r="A83" s="4" t="s">
        <v>259</v>
      </c>
      <c r="B83" s="26" t="n">
        <v>1000000</v>
      </c>
      <c r="C83" s="26" t="n">
        <v>1100000</v>
      </c>
      <c r="D83" s="26" t="n">
        <v>700000</v>
      </c>
      <c r="E83" s="26" t="n">
        <v>850000</v>
      </c>
      <c r="F83" s="26" t="n">
        <v>600000</v>
      </c>
      <c r="G83" s="26" t="n">
        <v>600000</v>
      </c>
      <c r="H83" s="6" t="s">
        <v>192</v>
      </c>
      <c r="I83" s="6" t="s">
        <v>114</v>
      </c>
      <c r="J83" s="30"/>
      <c r="K83" s="3"/>
    </row>
    <row r="84" customFormat="false" ht="15" hidden="false" customHeight="false" outlineLevel="0" collapsed="false">
      <c r="A84" s="4" t="s">
        <v>260</v>
      </c>
      <c r="B84" s="37" t="n">
        <v>0.005</v>
      </c>
      <c r="C84" s="37" t="n">
        <v>0.01</v>
      </c>
      <c r="D84" s="37" t="n">
        <v>0.005</v>
      </c>
      <c r="E84" s="37" t="n">
        <v>0.01</v>
      </c>
      <c r="F84" s="37" t="n">
        <v>0.005</v>
      </c>
      <c r="G84" s="37" t="n">
        <v>0.01</v>
      </c>
      <c r="H84" s="6" t="s">
        <v>104</v>
      </c>
      <c r="I84" s="6" t="s">
        <v>114</v>
      </c>
      <c r="J84" s="30"/>
      <c r="K84" s="3"/>
    </row>
    <row r="85" customFormat="false" ht="15" hidden="false" customHeight="false" outlineLevel="0" collapsed="false">
      <c r="A85" s="4" t="s">
        <v>261</v>
      </c>
      <c r="B85" s="24" t="n">
        <v>0.04</v>
      </c>
      <c r="C85" s="24" t="n">
        <v>0.04</v>
      </c>
      <c r="D85" s="24" t="n">
        <v>0.04</v>
      </c>
      <c r="E85" s="24" t="n">
        <v>0.04</v>
      </c>
      <c r="F85" s="24" t="n">
        <v>0.04</v>
      </c>
      <c r="G85" s="24" t="n">
        <v>0.04</v>
      </c>
      <c r="H85" s="6" t="s">
        <v>104</v>
      </c>
      <c r="I85" s="6" t="s">
        <v>105</v>
      </c>
      <c r="J85" s="30" t="s">
        <v>262</v>
      </c>
      <c r="K8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263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6" t="s">
        <v>264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7" t="s">
        <v>265</v>
      </c>
      <c r="B4" s="8"/>
      <c r="C4" s="8"/>
      <c r="D4" s="8"/>
      <c r="E4" s="8"/>
      <c r="F4" s="8"/>
      <c r="G4" s="3"/>
      <c r="H4" s="3"/>
    </row>
    <row r="5" customFormat="false" ht="15" hidden="false" customHeight="false" outlineLevel="0" collapsed="false">
      <c r="A5" s="14" t="s">
        <v>266</v>
      </c>
      <c r="B5" s="14" t="s">
        <v>267</v>
      </c>
      <c r="C5" s="14" t="s">
        <v>268</v>
      </c>
      <c r="D5" s="14" t="s">
        <v>269</v>
      </c>
      <c r="E5" s="14" t="s">
        <v>270</v>
      </c>
      <c r="F5" s="14" t="s">
        <v>271</v>
      </c>
      <c r="G5" s="3"/>
      <c r="H5" s="3"/>
    </row>
    <row r="6" customFormat="false" ht="15" hidden="false" customHeight="false" outlineLevel="0" collapsed="false">
      <c r="A6" s="4" t="s">
        <v>272</v>
      </c>
      <c r="B6" s="38" t="n">
        <v>1</v>
      </c>
      <c r="C6" s="26" t="n">
        <v>12000</v>
      </c>
      <c r="D6" s="38" t="n">
        <v>1</v>
      </c>
      <c r="E6" s="39" t="n">
        <f aca="false">IF(D6=1,12*Premissas!$B$21,Premissas!$B$22)</f>
        <v>15.6</v>
      </c>
      <c r="F6" s="36" t="n">
        <f aca="false">B6*C6*E6</f>
        <v>187200</v>
      </c>
      <c r="G6" s="3"/>
      <c r="H6" s="3"/>
    </row>
    <row r="7" customFormat="false" ht="15" hidden="false" customHeight="false" outlineLevel="0" collapsed="false">
      <c r="A7" s="4" t="s">
        <v>273</v>
      </c>
      <c r="B7" s="38" t="n">
        <v>1</v>
      </c>
      <c r="C7" s="26" t="n">
        <v>7000</v>
      </c>
      <c r="D7" s="38" t="n">
        <v>1</v>
      </c>
      <c r="E7" s="39" t="n">
        <f aca="false">IF(D7=1,12*Premissas!$B$21,Premissas!$B$22)</f>
        <v>15.6</v>
      </c>
      <c r="F7" s="36" t="n">
        <f aca="false">B7*C7*E7</f>
        <v>109200</v>
      </c>
      <c r="G7" s="3"/>
      <c r="H7" s="3"/>
    </row>
    <row r="8" customFormat="false" ht="15" hidden="false" customHeight="false" outlineLevel="0" collapsed="false">
      <c r="A8" s="4" t="s">
        <v>274</v>
      </c>
      <c r="B8" s="38" t="n">
        <v>1</v>
      </c>
      <c r="C8" s="26" t="n">
        <v>4500</v>
      </c>
      <c r="D8" s="38" t="n">
        <v>0</v>
      </c>
      <c r="E8" s="39" t="n">
        <f aca="false">IF(D8=1,12*Premissas!$B$21,Premissas!$B$22)</f>
        <v>8</v>
      </c>
      <c r="F8" s="36" t="n">
        <f aca="false">B8*C8*E8</f>
        <v>36000</v>
      </c>
      <c r="G8" s="3"/>
      <c r="H8" s="3"/>
    </row>
    <row r="9" customFormat="false" ht="15" hidden="false" customHeight="false" outlineLevel="0" collapsed="false">
      <c r="A9" s="4" t="s">
        <v>275</v>
      </c>
      <c r="B9" s="38" t="n">
        <v>1</v>
      </c>
      <c r="C9" s="26" t="n">
        <v>3500</v>
      </c>
      <c r="D9" s="38" t="n">
        <v>0</v>
      </c>
      <c r="E9" s="39" t="n">
        <f aca="false">IF(D9=1,12*Premissas!$B$21,Premissas!$B$22)</f>
        <v>8</v>
      </c>
      <c r="F9" s="36" t="n">
        <f aca="false">B9*C9*E9</f>
        <v>28000</v>
      </c>
      <c r="G9" s="3"/>
      <c r="H9" s="3"/>
    </row>
    <row r="10" customFormat="false" ht="15" hidden="false" customHeight="false" outlineLevel="0" collapsed="false">
      <c r="A10" s="4" t="s">
        <v>276</v>
      </c>
      <c r="B10" s="38" t="n">
        <v>2</v>
      </c>
      <c r="C10" s="26" t="n">
        <v>2800</v>
      </c>
      <c r="D10" s="38" t="n">
        <v>0</v>
      </c>
      <c r="E10" s="39" t="n">
        <f aca="false">IF(D10=1,12*Premissas!$B$21,Premissas!$B$22)</f>
        <v>8</v>
      </c>
      <c r="F10" s="36" t="n">
        <f aca="false">B10*C10*E10</f>
        <v>44800</v>
      </c>
      <c r="G10" s="3"/>
      <c r="H10" s="3"/>
    </row>
    <row r="11" customFormat="false" ht="15" hidden="false" customHeight="false" outlineLevel="0" collapsed="false">
      <c r="A11" s="4" t="s">
        <v>277</v>
      </c>
      <c r="B11" s="38" t="n">
        <v>1</v>
      </c>
      <c r="C11" s="26" t="n">
        <v>9000</v>
      </c>
      <c r="D11" s="38" t="n">
        <v>1</v>
      </c>
      <c r="E11" s="39" t="n">
        <f aca="false">IF(D11=1,12*Premissas!$B$21,Premissas!$B$22)</f>
        <v>15.6</v>
      </c>
      <c r="F11" s="36" t="n">
        <f aca="false">B11*C11*E11</f>
        <v>140400</v>
      </c>
      <c r="G11" s="3"/>
      <c r="H11" s="3"/>
    </row>
    <row r="12" customFormat="false" ht="15" hidden="false" customHeight="false" outlineLevel="0" collapsed="false">
      <c r="A12" s="4" t="s">
        <v>278</v>
      </c>
      <c r="B12" s="38" t="n">
        <v>1</v>
      </c>
      <c r="C12" s="26" t="n">
        <v>5500</v>
      </c>
      <c r="D12" s="38" t="n">
        <v>1</v>
      </c>
      <c r="E12" s="39" t="n">
        <f aca="false">IF(D12=1,12*Premissas!$B$21,Premissas!$B$22)</f>
        <v>15.6</v>
      </c>
      <c r="F12" s="36" t="n">
        <f aca="false">B12*C12*E12</f>
        <v>85800</v>
      </c>
      <c r="G12" s="3"/>
      <c r="H12" s="3"/>
    </row>
    <row r="13" customFormat="false" ht="15" hidden="false" customHeight="false" outlineLevel="0" collapsed="false">
      <c r="A13" s="4" t="s">
        <v>279</v>
      </c>
      <c r="B13" s="38" t="n">
        <v>1</v>
      </c>
      <c r="C13" s="26" t="n">
        <v>4500</v>
      </c>
      <c r="D13" s="38" t="n">
        <v>0</v>
      </c>
      <c r="E13" s="39" t="n">
        <f aca="false">IF(D13=1,12*Premissas!$B$21,Premissas!$B$22)</f>
        <v>8</v>
      </c>
      <c r="F13" s="36" t="n">
        <f aca="false">B13*C13*E13</f>
        <v>36000</v>
      </c>
      <c r="G13" s="3"/>
      <c r="H13" s="3"/>
    </row>
    <row r="14" customFormat="false" ht="15" hidden="false" customHeight="false" outlineLevel="0" collapsed="false">
      <c r="A14" s="4" t="s">
        <v>280</v>
      </c>
      <c r="B14" s="38" t="n">
        <v>1</v>
      </c>
      <c r="C14" s="26" t="n">
        <v>6500</v>
      </c>
      <c r="D14" s="38" t="n">
        <v>1</v>
      </c>
      <c r="E14" s="39" t="n">
        <f aca="false">IF(D14=1,12*Premissas!$B$21,Premissas!$B$22)</f>
        <v>15.6</v>
      </c>
      <c r="F14" s="36" t="n">
        <f aca="false">B14*C14*E14</f>
        <v>101400</v>
      </c>
      <c r="G14" s="3"/>
      <c r="H14" s="3"/>
    </row>
    <row r="15" customFormat="false" ht="15" hidden="false" customHeight="false" outlineLevel="0" collapsed="false">
      <c r="A15" s="4" t="s">
        <v>281</v>
      </c>
      <c r="B15" s="38" t="n">
        <v>1</v>
      </c>
      <c r="C15" s="26" t="n">
        <v>3000</v>
      </c>
      <c r="D15" s="38" t="n">
        <v>0</v>
      </c>
      <c r="E15" s="39" t="n">
        <f aca="false">IF(D15=1,12*Premissas!$B$21,Premissas!$B$22)</f>
        <v>8</v>
      </c>
      <c r="F15" s="36" t="n">
        <f aca="false">B15*C15*E15</f>
        <v>24000</v>
      </c>
      <c r="G15" s="3"/>
      <c r="H15" s="3"/>
    </row>
    <row r="16" customFormat="false" ht="15" hidden="false" customHeight="false" outlineLevel="0" collapsed="false">
      <c r="A16" s="4" t="s">
        <v>282</v>
      </c>
      <c r="B16" s="38" t="n">
        <v>1</v>
      </c>
      <c r="C16" s="26" t="n">
        <v>4000</v>
      </c>
      <c r="D16" s="38" t="n">
        <v>0</v>
      </c>
      <c r="E16" s="39" t="n">
        <f aca="false">IF(D16=1,12*Premissas!$B$21,Premissas!$B$22)</f>
        <v>8</v>
      </c>
      <c r="F16" s="36" t="n">
        <f aca="false">B16*C16*E16</f>
        <v>32000</v>
      </c>
      <c r="G16" s="3"/>
      <c r="H16" s="3"/>
    </row>
    <row r="17" customFormat="false" ht="15" hidden="false" customHeight="false" outlineLevel="0" collapsed="false">
      <c r="A17" s="4" t="s">
        <v>283</v>
      </c>
      <c r="B17" s="38" t="n">
        <v>1</v>
      </c>
      <c r="C17" s="26" t="n">
        <v>2800</v>
      </c>
      <c r="D17" s="38" t="n">
        <v>0</v>
      </c>
      <c r="E17" s="39" t="n">
        <f aca="false">IF(D17=1,12*Premissas!$B$21,Premissas!$B$22)</f>
        <v>8</v>
      </c>
      <c r="F17" s="36" t="n">
        <f aca="false">B17*C17*E17</f>
        <v>22400</v>
      </c>
      <c r="G17" s="3"/>
      <c r="H17" s="3"/>
    </row>
    <row r="18" customFormat="false" ht="15" hidden="false" customHeight="false" outlineLevel="0" collapsed="false">
      <c r="A18" s="4" t="s">
        <v>284</v>
      </c>
      <c r="B18" s="38" t="n">
        <v>1</v>
      </c>
      <c r="C18" s="26" t="n">
        <v>7000</v>
      </c>
      <c r="D18" s="38" t="n">
        <v>1</v>
      </c>
      <c r="E18" s="39" t="n">
        <f aca="false">IF(D18=1,12*Premissas!$B$21,Premissas!$B$22)</f>
        <v>15.6</v>
      </c>
      <c r="F18" s="36" t="n">
        <f aca="false">B18*C18*E18</f>
        <v>109200</v>
      </c>
      <c r="G18" s="3"/>
      <c r="H18" s="3"/>
    </row>
    <row r="19" customFormat="false" ht="15" hidden="false" customHeight="false" outlineLevel="0" collapsed="false">
      <c r="A19" s="4" t="s">
        <v>285</v>
      </c>
      <c r="B19" s="38" t="n">
        <v>1</v>
      </c>
      <c r="C19" s="26" t="n">
        <v>4500</v>
      </c>
      <c r="D19" s="38" t="n">
        <v>0</v>
      </c>
      <c r="E19" s="39" t="n">
        <f aca="false">IF(D19=1,12*Premissas!$B$21,Premissas!$B$22)</f>
        <v>8</v>
      </c>
      <c r="F19" s="36" t="n">
        <f aca="false">B19*C19*E19</f>
        <v>36000</v>
      </c>
      <c r="G19" s="3"/>
      <c r="H19" s="3"/>
    </row>
    <row r="20" customFormat="false" ht="15" hidden="false" customHeight="false" outlineLevel="0" collapsed="false">
      <c r="A20" s="4" t="s">
        <v>286</v>
      </c>
      <c r="B20" s="38" t="n">
        <v>2</v>
      </c>
      <c r="C20" s="26" t="n">
        <v>3000</v>
      </c>
      <c r="D20" s="38" t="n">
        <v>0</v>
      </c>
      <c r="E20" s="39" t="n">
        <f aca="false">IF(D20=1,12*Premissas!$B$21,Premissas!$B$22)</f>
        <v>8</v>
      </c>
      <c r="F20" s="36" t="n">
        <f aca="false">B20*C20*E20</f>
        <v>48000</v>
      </c>
      <c r="G20" s="3"/>
      <c r="H20" s="3"/>
    </row>
    <row r="21" customFormat="false" ht="15" hidden="false" customHeight="false" outlineLevel="0" collapsed="false">
      <c r="A21" s="4" t="s">
        <v>287</v>
      </c>
      <c r="B21" s="38" t="n">
        <v>1</v>
      </c>
      <c r="C21" s="26" t="n">
        <v>1800</v>
      </c>
      <c r="D21" s="38" t="n">
        <v>0</v>
      </c>
      <c r="E21" s="39" t="n">
        <f aca="false">IF(D21=1,12*Premissas!$B$21,Premissas!$B$22)</f>
        <v>8</v>
      </c>
      <c r="F21" s="36" t="n">
        <f aca="false">B21*C21*E21</f>
        <v>14400</v>
      </c>
      <c r="G21" s="3"/>
      <c r="H21" s="3"/>
    </row>
    <row r="22" customFormat="false" ht="15" hidden="false" customHeight="false" outlineLevel="0" collapsed="false">
      <c r="A22" s="4" t="s">
        <v>288</v>
      </c>
      <c r="B22" s="38" t="n">
        <v>1</v>
      </c>
      <c r="C22" s="26" t="n">
        <v>3200</v>
      </c>
      <c r="D22" s="38" t="n">
        <v>0</v>
      </c>
      <c r="E22" s="39" t="n">
        <f aca="false">IF(D22=1,12*Premissas!$B$21,Premissas!$B$22)</f>
        <v>8</v>
      </c>
      <c r="F22" s="36" t="n">
        <f aca="false">B22*C22*E22</f>
        <v>25600</v>
      </c>
      <c r="G22" s="3"/>
      <c r="H22" s="3"/>
    </row>
    <row r="23" customFormat="false" ht="15" hidden="false" customHeight="false" outlineLevel="0" collapsed="false">
      <c r="A23" s="4" t="s">
        <v>289</v>
      </c>
      <c r="B23" s="38" t="n">
        <v>3</v>
      </c>
      <c r="C23" s="26" t="n">
        <v>2400</v>
      </c>
      <c r="D23" s="38" t="n">
        <v>0</v>
      </c>
      <c r="E23" s="39" t="n">
        <f aca="false">IF(D23=1,12*Premissas!$B$21,Premissas!$B$22)</f>
        <v>8</v>
      </c>
      <c r="F23" s="36" t="n">
        <f aca="false">B23*C23*E23</f>
        <v>57600</v>
      </c>
      <c r="G23" s="3"/>
      <c r="H23" s="3"/>
    </row>
    <row r="24" customFormat="false" ht="15" hidden="false" customHeight="false" outlineLevel="0" collapsed="false">
      <c r="A24" s="4" t="s">
        <v>290</v>
      </c>
      <c r="B24" s="38" t="n">
        <v>1</v>
      </c>
      <c r="C24" s="26" t="n">
        <v>2600</v>
      </c>
      <c r="D24" s="38" t="n">
        <v>0</v>
      </c>
      <c r="E24" s="39" t="n">
        <f aca="false">IF(D24=1,12*Premissas!$B$21,Premissas!$B$22)</f>
        <v>8</v>
      </c>
      <c r="F24" s="36" t="n">
        <f aca="false">B24*C24*E24</f>
        <v>20800</v>
      </c>
      <c r="G24" s="3"/>
      <c r="H24" s="3"/>
    </row>
    <row r="25" customFormat="false" ht="15" hidden="false" customHeight="false" outlineLevel="0" collapsed="false">
      <c r="A25" s="4" t="s">
        <v>291</v>
      </c>
      <c r="B25" s="38" t="n">
        <v>1</v>
      </c>
      <c r="C25" s="26" t="n">
        <v>3000</v>
      </c>
      <c r="D25" s="38" t="n">
        <v>0</v>
      </c>
      <c r="E25" s="39" t="n">
        <f aca="false">IF(D25=1,12*Premissas!$B$21,Premissas!$B$22)</f>
        <v>8</v>
      </c>
      <c r="F25" s="36" t="n">
        <f aca="false">B25*C25*E25</f>
        <v>24000</v>
      </c>
      <c r="G25" s="3"/>
      <c r="H25" s="3"/>
    </row>
    <row r="26" customFormat="false" ht="15" hidden="false" customHeight="false" outlineLevel="0" collapsed="false">
      <c r="A26" s="4" t="s">
        <v>292</v>
      </c>
      <c r="B26" s="38" t="n">
        <v>3</v>
      </c>
      <c r="C26" s="26" t="n">
        <v>2200</v>
      </c>
      <c r="D26" s="38" t="n">
        <v>0</v>
      </c>
      <c r="E26" s="39" t="n">
        <f aca="false">IF(D26=1,12*Premissas!$B$21,Premissas!$B$22)</f>
        <v>8</v>
      </c>
      <c r="F26" s="36" t="n">
        <f aca="false">B26*C26*E26</f>
        <v>52800</v>
      </c>
      <c r="G26" s="3"/>
      <c r="H26" s="3"/>
    </row>
    <row r="27" customFormat="false" ht="15" hidden="false" customHeight="false" outlineLevel="0" collapsed="false">
      <c r="A27" s="4" t="s">
        <v>293</v>
      </c>
      <c r="B27" s="38" t="n">
        <v>1</v>
      </c>
      <c r="C27" s="26" t="n">
        <v>1800</v>
      </c>
      <c r="D27" s="38" t="n">
        <v>0</v>
      </c>
      <c r="E27" s="39" t="n">
        <f aca="false">IF(D27=1,12*Premissas!$B$21,Premissas!$B$22)</f>
        <v>8</v>
      </c>
      <c r="F27" s="36" t="n">
        <f aca="false">B27*C27*E27</f>
        <v>14400</v>
      </c>
      <c r="G27" s="3"/>
      <c r="H27" s="3"/>
    </row>
    <row r="28" customFormat="false" ht="15" hidden="false" customHeight="false" outlineLevel="0" collapsed="false">
      <c r="A28" s="14" t="s">
        <v>294</v>
      </c>
      <c r="B28" s="14" t="n">
        <f aca="false">SUM(B6:B27)</f>
        <v>28</v>
      </c>
      <c r="C28" s="3"/>
      <c r="D28" s="3"/>
      <c r="E28" s="3"/>
      <c r="F28" s="40" t="n">
        <f aca="false">SUM(F6:F27)</f>
        <v>1250000</v>
      </c>
      <c r="G28" s="3"/>
      <c r="H28" s="3"/>
    </row>
    <row r="29" customFormat="false" ht="15" hidden="false" customHeight="false" outlineLevel="0" collapsed="false">
      <c r="A29" s="3" t="s">
        <v>295</v>
      </c>
      <c r="B29" s="3"/>
      <c r="C29" s="3"/>
      <c r="D29" s="3"/>
      <c r="E29" s="3"/>
      <c r="F29" s="36" t="n">
        <f aca="false">F28*Premissas!$B$19</f>
        <v>275000</v>
      </c>
      <c r="G29" s="3"/>
      <c r="H29" s="3"/>
    </row>
    <row r="30" customFormat="false" ht="15" hidden="false" customHeight="false" outlineLevel="0" collapsed="false">
      <c r="A30" s="3" t="s">
        <v>136</v>
      </c>
      <c r="B30" s="3"/>
      <c r="C30" s="3"/>
      <c r="D30" s="3"/>
      <c r="E30" s="3"/>
      <c r="F30" s="36" t="n">
        <f aca="false">F28*Premissas!$B$20</f>
        <v>62500</v>
      </c>
      <c r="G30" s="3"/>
      <c r="H30" s="3"/>
    </row>
    <row r="31" customFormat="false" ht="15" hidden="false" customHeight="false" outlineLevel="0" collapsed="false">
      <c r="A31" s="14" t="s">
        <v>296</v>
      </c>
      <c r="B31" s="3"/>
      <c r="C31" s="3"/>
      <c r="D31" s="3"/>
      <c r="E31" s="3"/>
      <c r="F31" s="33" t="n">
        <f aca="false">SUM(F28:F30)</f>
        <v>1587500</v>
      </c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7" t="s">
        <v>297</v>
      </c>
      <c r="B33" s="8"/>
      <c r="C33" s="8"/>
      <c r="D33" s="8"/>
      <c r="E33" s="8"/>
      <c r="F33" s="8"/>
      <c r="G33" s="3"/>
      <c r="H33" s="3"/>
    </row>
    <row r="34" customFormat="false" ht="15" hidden="false" customHeight="false" outlineLevel="0" collapsed="false">
      <c r="A34" s="14" t="s">
        <v>266</v>
      </c>
      <c r="B34" s="14" t="s">
        <v>267</v>
      </c>
      <c r="C34" s="14" t="s">
        <v>268</v>
      </c>
      <c r="D34" s="14" t="s">
        <v>269</v>
      </c>
      <c r="E34" s="14" t="s">
        <v>270</v>
      </c>
      <c r="F34" s="14" t="s">
        <v>271</v>
      </c>
      <c r="G34" s="3"/>
      <c r="H34" s="3"/>
    </row>
    <row r="35" customFormat="false" ht="15" hidden="false" customHeight="false" outlineLevel="0" collapsed="false">
      <c r="A35" s="4" t="s">
        <v>272</v>
      </c>
      <c r="B35" s="38" t="n">
        <v>1</v>
      </c>
      <c r="C35" s="26" t="n">
        <v>10000</v>
      </c>
      <c r="D35" s="38" t="n">
        <v>1</v>
      </c>
      <c r="E35" s="39" t="n">
        <f aca="false">IF(D35=1,12*Premissas!$B$21,Premissas!$B$22)</f>
        <v>15.6</v>
      </c>
      <c r="F35" s="36" t="n">
        <f aca="false">B35*C35*E35</f>
        <v>156000</v>
      </c>
      <c r="G35" s="3"/>
      <c r="H35" s="3"/>
    </row>
    <row r="36" customFormat="false" ht="15" hidden="false" customHeight="false" outlineLevel="0" collapsed="false">
      <c r="A36" s="4" t="s">
        <v>273</v>
      </c>
      <c r="B36" s="38" t="n">
        <v>1</v>
      </c>
      <c r="C36" s="26" t="n">
        <v>6000</v>
      </c>
      <c r="D36" s="38" t="n">
        <v>1</v>
      </c>
      <c r="E36" s="39" t="n">
        <f aca="false">IF(D36=1,12*Premissas!$B$21,Premissas!$B$22)</f>
        <v>15.6</v>
      </c>
      <c r="F36" s="36" t="n">
        <f aca="false">B36*C36*E36</f>
        <v>93600</v>
      </c>
      <c r="G36" s="3"/>
      <c r="H36" s="3"/>
    </row>
    <row r="37" customFormat="false" ht="15" hidden="false" customHeight="false" outlineLevel="0" collapsed="false">
      <c r="A37" s="4" t="s">
        <v>275</v>
      </c>
      <c r="B37" s="38" t="n">
        <v>1</v>
      </c>
      <c r="C37" s="26" t="n">
        <v>3200</v>
      </c>
      <c r="D37" s="38" t="n">
        <v>0</v>
      </c>
      <c r="E37" s="39" t="n">
        <f aca="false">IF(D37=1,12*Premissas!$B$21,Premissas!$B$22)</f>
        <v>8</v>
      </c>
      <c r="F37" s="36" t="n">
        <f aca="false">B37*C37*E37</f>
        <v>25600</v>
      </c>
      <c r="G37" s="3"/>
      <c r="H37" s="3"/>
    </row>
    <row r="38" customFormat="false" ht="15" hidden="false" customHeight="false" outlineLevel="0" collapsed="false">
      <c r="A38" s="4" t="s">
        <v>276</v>
      </c>
      <c r="B38" s="38" t="n">
        <v>2</v>
      </c>
      <c r="C38" s="26" t="n">
        <v>2600</v>
      </c>
      <c r="D38" s="38" t="n">
        <v>0</v>
      </c>
      <c r="E38" s="39" t="n">
        <f aca="false">IF(D38=1,12*Premissas!$B$21,Premissas!$B$22)</f>
        <v>8</v>
      </c>
      <c r="F38" s="36" t="n">
        <f aca="false">B38*C38*E38</f>
        <v>41600</v>
      </c>
      <c r="G38" s="3"/>
      <c r="H38" s="3"/>
    </row>
    <row r="39" customFormat="false" ht="15" hidden="false" customHeight="false" outlineLevel="0" collapsed="false">
      <c r="A39" s="4" t="s">
        <v>277</v>
      </c>
      <c r="B39" s="38" t="n">
        <v>1</v>
      </c>
      <c r="C39" s="26" t="n">
        <v>8000</v>
      </c>
      <c r="D39" s="38" t="n">
        <v>1</v>
      </c>
      <c r="E39" s="39" t="n">
        <f aca="false">IF(D39=1,12*Premissas!$B$21,Premissas!$B$22)</f>
        <v>15.6</v>
      </c>
      <c r="F39" s="36" t="n">
        <f aca="false">B39*C39*E39</f>
        <v>124800</v>
      </c>
      <c r="G39" s="3"/>
      <c r="H39" s="3"/>
    </row>
    <row r="40" customFormat="false" ht="15" hidden="false" customHeight="false" outlineLevel="0" collapsed="false">
      <c r="A40" s="4" t="s">
        <v>278</v>
      </c>
      <c r="B40" s="38" t="n">
        <v>1</v>
      </c>
      <c r="C40" s="26" t="n">
        <v>5000</v>
      </c>
      <c r="D40" s="38" t="n">
        <v>1</v>
      </c>
      <c r="E40" s="39" t="n">
        <f aca="false">IF(D40=1,12*Premissas!$B$21,Premissas!$B$22)</f>
        <v>15.6</v>
      </c>
      <c r="F40" s="36" t="n">
        <f aca="false">B40*C40*E40</f>
        <v>78000</v>
      </c>
      <c r="G40" s="3"/>
      <c r="H40" s="3"/>
    </row>
    <row r="41" customFormat="false" ht="15" hidden="false" customHeight="false" outlineLevel="0" collapsed="false">
      <c r="A41" s="4" t="s">
        <v>280</v>
      </c>
      <c r="B41" s="38" t="n">
        <v>1</v>
      </c>
      <c r="C41" s="26" t="n">
        <v>5500</v>
      </c>
      <c r="D41" s="38" t="n">
        <v>1</v>
      </c>
      <c r="E41" s="39" t="n">
        <f aca="false">IF(D41=1,12*Premissas!$B$21,Premissas!$B$22)</f>
        <v>15.6</v>
      </c>
      <c r="F41" s="36" t="n">
        <f aca="false">B41*C41*E41</f>
        <v>85800</v>
      </c>
      <c r="G41" s="3"/>
      <c r="H41" s="3"/>
    </row>
    <row r="42" customFormat="false" ht="15" hidden="false" customHeight="false" outlineLevel="0" collapsed="false">
      <c r="A42" s="4" t="s">
        <v>281</v>
      </c>
      <c r="B42" s="38" t="n">
        <v>1</v>
      </c>
      <c r="C42" s="26" t="n">
        <v>2800</v>
      </c>
      <c r="D42" s="38" t="n">
        <v>0</v>
      </c>
      <c r="E42" s="39" t="n">
        <f aca="false">IF(D42=1,12*Premissas!$B$21,Premissas!$B$22)</f>
        <v>8</v>
      </c>
      <c r="F42" s="36" t="n">
        <f aca="false">B42*C42*E42</f>
        <v>22400</v>
      </c>
      <c r="G42" s="3"/>
      <c r="H42" s="3"/>
    </row>
    <row r="43" customFormat="false" ht="15" hidden="false" customHeight="false" outlineLevel="0" collapsed="false">
      <c r="A43" s="4" t="s">
        <v>298</v>
      </c>
      <c r="B43" s="38" t="n">
        <v>1</v>
      </c>
      <c r="C43" s="26" t="n">
        <v>3000</v>
      </c>
      <c r="D43" s="38" t="n">
        <v>0</v>
      </c>
      <c r="E43" s="39" t="n">
        <f aca="false">IF(D43=1,12*Premissas!$B$21,Premissas!$B$22)</f>
        <v>8</v>
      </c>
      <c r="F43" s="36" t="n">
        <f aca="false">B43*C43*E43</f>
        <v>24000</v>
      </c>
      <c r="G43" s="3"/>
      <c r="H43" s="3"/>
    </row>
    <row r="44" customFormat="false" ht="15" hidden="false" customHeight="false" outlineLevel="0" collapsed="false">
      <c r="A44" s="4" t="s">
        <v>284</v>
      </c>
      <c r="B44" s="38" t="n">
        <v>1</v>
      </c>
      <c r="C44" s="26" t="n">
        <v>6000</v>
      </c>
      <c r="D44" s="38" t="n">
        <v>1</v>
      </c>
      <c r="E44" s="39" t="n">
        <f aca="false">IF(D44=1,12*Premissas!$B$21,Premissas!$B$22)</f>
        <v>15.6</v>
      </c>
      <c r="F44" s="36" t="n">
        <f aca="false">B44*C44*E44</f>
        <v>93600</v>
      </c>
      <c r="G44" s="3"/>
      <c r="H44" s="3"/>
    </row>
    <row r="45" customFormat="false" ht="15" hidden="false" customHeight="false" outlineLevel="0" collapsed="false">
      <c r="A45" s="4" t="s">
        <v>285</v>
      </c>
      <c r="B45" s="38" t="n">
        <v>1</v>
      </c>
      <c r="C45" s="26" t="n">
        <v>4000</v>
      </c>
      <c r="D45" s="38" t="n">
        <v>0</v>
      </c>
      <c r="E45" s="39" t="n">
        <f aca="false">IF(D45=1,12*Premissas!$B$21,Premissas!$B$22)</f>
        <v>8</v>
      </c>
      <c r="F45" s="36" t="n">
        <f aca="false">B45*C45*E45</f>
        <v>32000</v>
      </c>
      <c r="G45" s="3"/>
      <c r="H45" s="3"/>
    </row>
    <row r="46" customFormat="false" ht="15" hidden="false" customHeight="false" outlineLevel="0" collapsed="false">
      <c r="A46" s="4" t="s">
        <v>299</v>
      </c>
      <c r="B46" s="38" t="n">
        <v>1</v>
      </c>
      <c r="C46" s="26" t="n">
        <v>2800</v>
      </c>
      <c r="D46" s="38" t="n">
        <v>0</v>
      </c>
      <c r="E46" s="39" t="n">
        <f aca="false">IF(D46=1,12*Premissas!$B$21,Premissas!$B$22)</f>
        <v>8</v>
      </c>
      <c r="F46" s="36" t="n">
        <f aca="false">B46*C46*E46</f>
        <v>22400</v>
      </c>
      <c r="G46" s="3"/>
      <c r="H46" s="3"/>
    </row>
    <row r="47" customFormat="false" ht="15" hidden="false" customHeight="false" outlineLevel="0" collapsed="false">
      <c r="A47" s="4" t="s">
        <v>288</v>
      </c>
      <c r="B47" s="38" t="n">
        <v>1</v>
      </c>
      <c r="C47" s="26" t="n">
        <v>3000</v>
      </c>
      <c r="D47" s="38" t="n">
        <v>0</v>
      </c>
      <c r="E47" s="39" t="n">
        <f aca="false">IF(D47=1,12*Premissas!$B$21,Premissas!$B$22)</f>
        <v>8</v>
      </c>
      <c r="F47" s="36" t="n">
        <f aca="false">B47*C47*E47</f>
        <v>24000</v>
      </c>
      <c r="G47" s="3"/>
      <c r="H47" s="3"/>
    </row>
    <row r="48" customFormat="false" ht="15" hidden="false" customHeight="false" outlineLevel="0" collapsed="false">
      <c r="A48" s="4" t="s">
        <v>289</v>
      </c>
      <c r="B48" s="38" t="n">
        <v>2</v>
      </c>
      <c r="C48" s="26" t="n">
        <v>2300</v>
      </c>
      <c r="D48" s="38" t="n">
        <v>0</v>
      </c>
      <c r="E48" s="39" t="n">
        <f aca="false">IF(D48=1,12*Premissas!$B$21,Premissas!$B$22)</f>
        <v>8</v>
      </c>
      <c r="F48" s="36" t="n">
        <f aca="false">B48*C48*E48</f>
        <v>36800</v>
      </c>
      <c r="G48" s="3"/>
      <c r="H48" s="3"/>
    </row>
    <row r="49" customFormat="false" ht="15" hidden="false" customHeight="false" outlineLevel="0" collapsed="false">
      <c r="A49" s="4" t="s">
        <v>300</v>
      </c>
      <c r="B49" s="38" t="n">
        <v>1</v>
      </c>
      <c r="C49" s="26" t="n">
        <v>2400</v>
      </c>
      <c r="D49" s="38" t="n">
        <v>0</v>
      </c>
      <c r="E49" s="39" t="n">
        <f aca="false">IF(D49=1,12*Premissas!$B$21,Premissas!$B$22)</f>
        <v>8</v>
      </c>
      <c r="F49" s="36" t="n">
        <f aca="false">B49*C49*E49</f>
        <v>19200</v>
      </c>
      <c r="G49" s="3"/>
      <c r="H49" s="3"/>
    </row>
    <row r="50" customFormat="false" ht="15" hidden="false" customHeight="false" outlineLevel="0" collapsed="false">
      <c r="A50" s="4" t="s">
        <v>301</v>
      </c>
      <c r="B50" s="38" t="n">
        <v>1</v>
      </c>
      <c r="C50" s="26" t="n">
        <v>2800</v>
      </c>
      <c r="D50" s="38" t="n">
        <v>0</v>
      </c>
      <c r="E50" s="39" t="n">
        <f aca="false">IF(D50=1,12*Premissas!$B$21,Premissas!$B$22)</f>
        <v>8</v>
      </c>
      <c r="F50" s="36" t="n">
        <f aca="false">B50*C50*E50</f>
        <v>22400</v>
      </c>
      <c r="G50" s="3"/>
      <c r="H50" s="3"/>
    </row>
    <row r="51" customFormat="false" ht="15" hidden="false" customHeight="false" outlineLevel="0" collapsed="false">
      <c r="A51" s="4" t="s">
        <v>302</v>
      </c>
      <c r="B51" s="38" t="n">
        <v>2</v>
      </c>
      <c r="C51" s="26" t="n">
        <v>2100</v>
      </c>
      <c r="D51" s="38" t="n">
        <v>0</v>
      </c>
      <c r="E51" s="39" t="n">
        <f aca="false">IF(D51=1,12*Premissas!$B$21,Premissas!$B$22)</f>
        <v>8</v>
      </c>
      <c r="F51" s="36" t="n">
        <f aca="false">B51*C51*E51</f>
        <v>33600</v>
      </c>
      <c r="G51" s="3"/>
      <c r="H51" s="3"/>
    </row>
    <row r="52" customFormat="false" ht="15" hidden="false" customHeight="false" outlineLevel="0" collapsed="false">
      <c r="A52" s="14" t="s">
        <v>294</v>
      </c>
      <c r="B52" s="14" t="n">
        <f aca="false">SUM(B35:B51)</f>
        <v>20</v>
      </c>
      <c r="C52" s="3"/>
      <c r="D52" s="3"/>
      <c r="E52" s="3"/>
      <c r="F52" s="40" t="n">
        <f aca="false">SUM(F35:F51)</f>
        <v>935800</v>
      </c>
      <c r="G52" s="3"/>
      <c r="H52" s="3"/>
    </row>
    <row r="53" customFormat="false" ht="15" hidden="false" customHeight="false" outlineLevel="0" collapsed="false">
      <c r="A53" s="3" t="s">
        <v>295</v>
      </c>
      <c r="B53" s="3"/>
      <c r="C53" s="3"/>
      <c r="D53" s="3"/>
      <c r="E53" s="3"/>
      <c r="F53" s="36" t="n">
        <f aca="false">F52*Premissas!$B$19</f>
        <v>205876</v>
      </c>
      <c r="G53" s="3"/>
      <c r="H53" s="3"/>
    </row>
    <row r="54" customFormat="false" ht="15" hidden="false" customHeight="false" outlineLevel="0" collapsed="false">
      <c r="A54" s="3" t="s">
        <v>136</v>
      </c>
      <c r="B54" s="3"/>
      <c r="C54" s="3"/>
      <c r="D54" s="3"/>
      <c r="E54" s="3"/>
      <c r="F54" s="36" t="n">
        <f aca="false">F52*Premissas!$B$20</f>
        <v>46790</v>
      </c>
      <c r="G54" s="3"/>
      <c r="H54" s="3"/>
    </row>
    <row r="55" customFormat="false" ht="15" hidden="false" customHeight="false" outlineLevel="0" collapsed="false">
      <c r="A55" s="14" t="s">
        <v>296</v>
      </c>
      <c r="B55" s="3"/>
      <c r="C55" s="3"/>
      <c r="D55" s="3"/>
      <c r="E55" s="3"/>
      <c r="F55" s="33" t="n">
        <f aca="false">SUM(F52:F54)</f>
        <v>1188466</v>
      </c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7" t="s">
        <v>303</v>
      </c>
      <c r="B57" s="8"/>
      <c r="C57" s="8"/>
      <c r="D57" s="8"/>
      <c r="E57" s="8"/>
      <c r="F57" s="8"/>
      <c r="G57" s="3"/>
      <c r="H57" s="3"/>
    </row>
    <row r="58" customFormat="false" ht="15" hidden="false" customHeight="false" outlineLevel="0" collapsed="false">
      <c r="A58" s="14" t="s">
        <v>266</v>
      </c>
      <c r="B58" s="14" t="s">
        <v>267</v>
      </c>
      <c r="C58" s="14" t="s">
        <v>268</v>
      </c>
      <c r="D58" s="14" t="s">
        <v>269</v>
      </c>
      <c r="E58" s="14" t="s">
        <v>270</v>
      </c>
      <c r="F58" s="14" t="s">
        <v>271</v>
      </c>
      <c r="G58" s="3"/>
      <c r="H58" s="3"/>
    </row>
    <row r="59" customFormat="false" ht="15" hidden="false" customHeight="false" outlineLevel="0" collapsed="false">
      <c r="A59" s="4" t="s">
        <v>272</v>
      </c>
      <c r="B59" s="38" t="n">
        <v>1</v>
      </c>
      <c r="C59" s="26" t="n">
        <v>9000</v>
      </c>
      <c r="D59" s="38" t="n">
        <v>1</v>
      </c>
      <c r="E59" s="39" t="n">
        <f aca="false">IF(D59=1,12*Premissas!$B$21,Premissas!$B$22)</f>
        <v>15.6</v>
      </c>
      <c r="F59" s="36" t="n">
        <f aca="false">B59*C59*E59</f>
        <v>140400</v>
      </c>
      <c r="G59" s="3"/>
      <c r="H59" s="3"/>
    </row>
    <row r="60" customFormat="false" ht="15" hidden="false" customHeight="false" outlineLevel="0" collapsed="false">
      <c r="A60" s="4" t="s">
        <v>273</v>
      </c>
      <c r="B60" s="38" t="n">
        <v>1</v>
      </c>
      <c r="C60" s="26" t="n">
        <v>5500</v>
      </c>
      <c r="D60" s="38" t="n">
        <v>1</v>
      </c>
      <c r="E60" s="39" t="n">
        <f aca="false">IF(D60=1,12*Premissas!$B$21,Premissas!$B$22)</f>
        <v>15.6</v>
      </c>
      <c r="F60" s="36" t="n">
        <f aca="false">B60*C60*E60</f>
        <v>85800</v>
      </c>
      <c r="G60" s="3"/>
      <c r="H60" s="3"/>
    </row>
    <row r="61" customFormat="false" ht="15" hidden="false" customHeight="false" outlineLevel="0" collapsed="false">
      <c r="A61" s="4" t="s">
        <v>276</v>
      </c>
      <c r="B61" s="38" t="n">
        <v>2</v>
      </c>
      <c r="C61" s="26" t="n">
        <v>2600</v>
      </c>
      <c r="D61" s="38" t="n">
        <v>0</v>
      </c>
      <c r="E61" s="39" t="n">
        <f aca="false">IF(D61=1,12*Premissas!$B$21,Premissas!$B$22)</f>
        <v>8</v>
      </c>
      <c r="F61" s="36" t="n">
        <f aca="false">B61*C61*E61</f>
        <v>41600</v>
      </c>
      <c r="G61" s="3"/>
      <c r="H61" s="3"/>
    </row>
    <row r="62" customFormat="false" ht="15" hidden="false" customHeight="false" outlineLevel="0" collapsed="false">
      <c r="A62" s="4" t="s">
        <v>277</v>
      </c>
      <c r="B62" s="38" t="n">
        <v>1</v>
      </c>
      <c r="C62" s="26" t="n">
        <v>7500</v>
      </c>
      <c r="D62" s="38" t="n">
        <v>1</v>
      </c>
      <c r="E62" s="39" t="n">
        <f aca="false">IF(D62=1,12*Premissas!$B$21,Premissas!$B$22)</f>
        <v>15.6</v>
      </c>
      <c r="F62" s="36" t="n">
        <f aca="false">B62*C62*E62</f>
        <v>117000</v>
      </c>
      <c r="G62" s="3"/>
      <c r="H62" s="3"/>
    </row>
    <row r="63" customFormat="false" ht="15" hidden="false" customHeight="false" outlineLevel="0" collapsed="false">
      <c r="A63" s="4" t="s">
        <v>278</v>
      </c>
      <c r="B63" s="38" t="n">
        <v>1</v>
      </c>
      <c r="C63" s="26" t="n">
        <v>4500</v>
      </c>
      <c r="D63" s="38" t="n">
        <v>1</v>
      </c>
      <c r="E63" s="39" t="n">
        <f aca="false">IF(D63=1,12*Premissas!$B$21,Premissas!$B$22)</f>
        <v>15.6</v>
      </c>
      <c r="F63" s="36" t="n">
        <f aca="false">B63*C63*E63</f>
        <v>70200</v>
      </c>
      <c r="G63" s="3"/>
      <c r="H63" s="3"/>
    </row>
    <row r="64" customFormat="false" ht="15" hidden="false" customHeight="false" outlineLevel="0" collapsed="false">
      <c r="A64" s="4" t="s">
        <v>280</v>
      </c>
      <c r="B64" s="38" t="n">
        <v>1</v>
      </c>
      <c r="C64" s="26" t="n">
        <v>5000</v>
      </c>
      <c r="D64" s="38" t="n">
        <v>1</v>
      </c>
      <c r="E64" s="39" t="n">
        <f aca="false">IF(D64=1,12*Premissas!$B$21,Premissas!$B$22)</f>
        <v>15.6</v>
      </c>
      <c r="F64" s="36" t="n">
        <f aca="false">B64*C64*E64</f>
        <v>78000</v>
      </c>
      <c r="G64" s="3"/>
      <c r="H64" s="3"/>
    </row>
    <row r="65" customFormat="false" ht="15" hidden="false" customHeight="false" outlineLevel="0" collapsed="false">
      <c r="A65" s="4" t="s">
        <v>298</v>
      </c>
      <c r="B65" s="38" t="n">
        <v>1</v>
      </c>
      <c r="C65" s="26" t="n">
        <v>2800</v>
      </c>
      <c r="D65" s="38" t="n">
        <v>0</v>
      </c>
      <c r="E65" s="39" t="n">
        <f aca="false">IF(D65=1,12*Premissas!$B$21,Premissas!$B$22)</f>
        <v>8</v>
      </c>
      <c r="F65" s="36" t="n">
        <f aca="false">B65*C65*E65</f>
        <v>22400</v>
      </c>
      <c r="G65" s="3"/>
      <c r="H65" s="3"/>
    </row>
    <row r="66" customFormat="false" ht="15" hidden="false" customHeight="false" outlineLevel="0" collapsed="false">
      <c r="A66" s="4" t="s">
        <v>284</v>
      </c>
      <c r="B66" s="38" t="n">
        <v>1</v>
      </c>
      <c r="C66" s="26" t="n">
        <v>5500</v>
      </c>
      <c r="D66" s="38" t="n">
        <v>1</v>
      </c>
      <c r="E66" s="39" t="n">
        <f aca="false">IF(D66=1,12*Premissas!$B$21,Premissas!$B$22)</f>
        <v>15.6</v>
      </c>
      <c r="F66" s="36" t="n">
        <f aca="false">B66*C66*E66</f>
        <v>85800</v>
      </c>
      <c r="G66" s="3"/>
      <c r="H66" s="3"/>
    </row>
    <row r="67" customFormat="false" ht="15" hidden="false" customHeight="false" outlineLevel="0" collapsed="false">
      <c r="A67" s="4" t="s">
        <v>285</v>
      </c>
      <c r="B67" s="38" t="n">
        <v>1</v>
      </c>
      <c r="C67" s="26" t="n">
        <v>3800</v>
      </c>
      <c r="D67" s="38" t="n">
        <v>0</v>
      </c>
      <c r="E67" s="39" t="n">
        <f aca="false">IF(D67=1,12*Premissas!$B$21,Premissas!$B$22)</f>
        <v>8</v>
      </c>
      <c r="F67" s="36" t="n">
        <f aca="false">B67*C67*E67</f>
        <v>30400</v>
      </c>
      <c r="G67" s="3"/>
      <c r="H67" s="3"/>
    </row>
    <row r="68" customFormat="false" ht="15" hidden="false" customHeight="false" outlineLevel="0" collapsed="false">
      <c r="A68" s="4" t="s">
        <v>299</v>
      </c>
      <c r="B68" s="38" t="n">
        <v>1</v>
      </c>
      <c r="C68" s="26" t="n">
        <v>2700</v>
      </c>
      <c r="D68" s="38" t="n">
        <v>0</v>
      </c>
      <c r="E68" s="39" t="n">
        <f aca="false">IF(D68=1,12*Premissas!$B$21,Premissas!$B$22)</f>
        <v>8</v>
      </c>
      <c r="F68" s="36" t="n">
        <f aca="false">B68*C68*E68</f>
        <v>21600</v>
      </c>
      <c r="G68" s="3"/>
      <c r="H68" s="3"/>
    </row>
    <row r="69" customFormat="false" ht="15" hidden="false" customHeight="false" outlineLevel="0" collapsed="false">
      <c r="A69" s="4" t="s">
        <v>288</v>
      </c>
      <c r="B69" s="38" t="n">
        <v>1</v>
      </c>
      <c r="C69" s="26" t="n">
        <v>2800</v>
      </c>
      <c r="D69" s="38" t="n">
        <v>0</v>
      </c>
      <c r="E69" s="39" t="n">
        <f aca="false">IF(D69=1,12*Premissas!$B$21,Premissas!$B$22)</f>
        <v>8</v>
      </c>
      <c r="F69" s="36" t="n">
        <f aca="false">B69*C69*E69</f>
        <v>22400</v>
      </c>
      <c r="G69" s="3"/>
      <c r="H69" s="3"/>
    </row>
    <row r="70" customFormat="false" ht="15" hidden="false" customHeight="false" outlineLevel="0" collapsed="false">
      <c r="A70" s="4" t="s">
        <v>289</v>
      </c>
      <c r="B70" s="38" t="n">
        <v>2</v>
      </c>
      <c r="C70" s="26" t="n">
        <v>2200</v>
      </c>
      <c r="D70" s="38" t="n">
        <v>0</v>
      </c>
      <c r="E70" s="39" t="n">
        <f aca="false">IF(D70=1,12*Premissas!$B$21,Premissas!$B$22)</f>
        <v>8</v>
      </c>
      <c r="F70" s="36" t="n">
        <f aca="false">B70*C70*E70</f>
        <v>35200</v>
      </c>
      <c r="G70" s="3"/>
      <c r="H70" s="3"/>
    </row>
    <row r="71" customFormat="false" ht="15" hidden="false" customHeight="false" outlineLevel="0" collapsed="false">
      <c r="A71" s="4" t="s">
        <v>300</v>
      </c>
      <c r="B71" s="38" t="n">
        <v>1</v>
      </c>
      <c r="C71" s="26" t="n">
        <v>2300</v>
      </c>
      <c r="D71" s="38" t="n">
        <v>0</v>
      </c>
      <c r="E71" s="39" t="n">
        <f aca="false">IF(D71=1,12*Premissas!$B$21,Premissas!$B$22)</f>
        <v>8</v>
      </c>
      <c r="F71" s="36" t="n">
        <f aca="false">B71*C71*E71</f>
        <v>18400</v>
      </c>
      <c r="G71" s="3"/>
      <c r="H71" s="3"/>
    </row>
    <row r="72" customFormat="false" ht="15" hidden="false" customHeight="false" outlineLevel="0" collapsed="false">
      <c r="A72" s="4" t="s">
        <v>302</v>
      </c>
      <c r="B72" s="38" t="n">
        <v>2</v>
      </c>
      <c r="C72" s="26" t="n">
        <v>2000</v>
      </c>
      <c r="D72" s="38" t="n">
        <v>0</v>
      </c>
      <c r="E72" s="39" t="n">
        <f aca="false">IF(D72=1,12*Premissas!$B$21,Premissas!$B$22)</f>
        <v>8</v>
      </c>
      <c r="F72" s="36" t="n">
        <f aca="false">B72*C72*E72</f>
        <v>32000</v>
      </c>
      <c r="G72" s="3"/>
      <c r="H72" s="3"/>
    </row>
    <row r="73" customFormat="false" ht="15" hidden="false" customHeight="false" outlineLevel="0" collapsed="false">
      <c r="A73" s="14" t="s">
        <v>294</v>
      </c>
      <c r="B73" s="14" t="n">
        <f aca="false">SUM(B59:B72)</f>
        <v>17</v>
      </c>
      <c r="C73" s="3"/>
      <c r="D73" s="3"/>
      <c r="E73" s="3"/>
      <c r="F73" s="40" t="n">
        <f aca="false">SUM(F59:F72)</f>
        <v>801200</v>
      </c>
      <c r="G73" s="3"/>
      <c r="H73" s="3"/>
    </row>
    <row r="74" customFormat="false" ht="15" hidden="false" customHeight="false" outlineLevel="0" collapsed="false">
      <c r="A74" s="3" t="s">
        <v>295</v>
      </c>
      <c r="B74" s="3"/>
      <c r="C74" s="3"/>
      <c r="D74" s="3"/>
      <c r="E74" s="3"/>
      <c r="F74" s="36" t="n">
        <f aca="false">F73*Premissas!$B$19</f>
        <v>176264</v>
      </c>
      <c r="G74" s="3"/>
      <c r="H74" s="3"/>
    </row>
    <row r="75" customFormat="false" ht="15" hidden="false" customHeight="false" outlineLevel="0" collapsed="false">
      <c r="A75" s="3" t="s">
        <v>136</v>
      </c>
      <c r="B75" s="3"/>
      <c r="C75" s="3"/>
      <c r="D75" s="3"/>
      <c r="E75" s="3"/>
      <c r="F75" s="36" t="n">
        <f aca="false">F73*Premissas!$B$20</f>
        <v>40060</v>
      </c>
      <c r="G75" s="3"/>
      <c r="H75" s="3"/>
    </row>
    <row r="76" customFormat="false" ht="15" hidden="false" customHeight="false" outlineLevel="0" collapsed="false">
      <c r="A76" s="14" t="s">
        <v>296</v>
      </c>
      <c r="B76" s="3"/>
      <c r="C76" s="3"/>
      <c r="D76" s="3"/>
      <c r="E76" s="3"/>
      <c r="F76" s="33" t="n">
        <f aca="false">SUM(F73:F75)</f>
        <v>1017524</v>
      </c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6" t="s">
        <v>304</v>
      </c>
      <c r="B78" s="3"/>
      <c r="C78" s="3"/>
      <c r="D78" s="3"/>
      <c r="E78" s="3"/>
      <c r="F78" s="3"/>
      <c r="G78" s="3"/>
      <c r="H7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1" t="s">
        <v>305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6" t="s">
        <v>306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7" t="s">
        <v>307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14" t="s">
        <v>308</v>
      </c>
      <c r="B5" s="14" t="s">
        <v>309</v>
      </c>
      <c r="C5" s="14" t="s">
        <v>310</v>
      </c>
      <c r="D5" s="14" t="s">
        <v>311</v>
      </c>
      <c r="E5" s="14"/>
      <c r="F5" s="14" t="s">
        <v>312</v>
      </c>
      <c r="G5" s="14" t="s">
        <v>313</v>
      </c>
      <c r="H5" s="14" t="s">
        <v>314</v>
      </c>
    </row>
    <row r="6" customFormat="false" ht="15" hidden="false" customHeight="false" outlineLevel="0" collapsed="false">
      <c r="A6" s="3" t="s">
        <v>315</v>
      </c>
      <c r="B6" s="41" t="n">
        <f aca="false">Premissas!$B$44</f>
        <v>72</v>
      </c>
      <c r="C6" s="41" t="n">
        <f aca="false">Premissas!$B$44</f>
        <v>72</v>
      </c>
      <c r="D6" s="41" t="n">
        <f aca="false">Premissas!$B$44</f>
        <v>72</v>
      </c>
      <c r="E6" s="3"/>
      <c r="F6" s="3"/>
      <c r="G6" s="3"/>
      <c r="H6" s="3"/>
    </row>
    <row r="7" customFormat="false" ht="15" hidden="false" customHeight="false" outlineLevel="0" collapsed="false">
      <c r="A7" s="3" t="s">
        <v>316</v>
      </c>
      <c r="B7" s="26" t="n">
        <v>560000</v>
      </c>
      <c r="C7" s="26" t="n">
        <v>775000</v>
      </c>
      <c r="D7" s="26" t="n">
        <v>1125000</v>
      </c>
      <c r="E7" s="3"/>
      <c r="F7" s="6" t="s">
        <v>317</v>
      </c>
      <c r="G7" s="3"/>
      <c r="H7" s="3"/>
    </row>
    <row r="8" customFormat="false" ht="15" hidden="false" customHeight="false" outlineLevel="0" collapsed="false">
      <c r="A8" s="3" t="s">
        <v>318</v>
      </c>
      <c r="B8" s="22" t="n">
        <v>0.75</v>
      </c>
      <c r="C8" s="22" t="n">
        <v>0.75</v>
      </c>
      <c r="D8" s="22" t="n">
        <v>0.75</v>
      </c>
      <c r="E8" s="3"/>
      <c r="F8" s="6" t="s">
        <v>319</v>
      </c>
      <c r="G8" s="3"/>
      <c r="H8" s="3"/>
    </row>
    <row r="9" customFormat="false" ht="15" hidden="false" customHeight="false" outlineLevel="0" collapsed="false">
      <c r="A9" s="14" t="s">
        <v>320</v>
      </c>
      <c r="B9" s="33" t="n">
        <f aca="false">B6*B7*B8</f>
        <v>30240000</v>
      </c>
      <c r="C9" s="33" t="n">
        <f aca="false">C6*C7*C8</f>
        <v>41850000</v>
      </c>
      <c r="D9" s="33" t="n">
        <f aca="false">D6*D7*D8</f>
        <v>60750000</v>
      </c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5" t="s">
        <v>321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 t="s">
        <v>322</v>
      </c>
      <c r="B12" s="36" t="n">
        <f aca="false">B$9*F12</f>
        <v>1512000</v>
      </c>
      <c r="C12" s="36" t="n">
        <f aca="false">C$9*G12</f>
        <v>2511000</v>
      </c>
      <c r="D12" s="36" t="n">
        <f aca="false">D$9*H12</f>
        <v>4252500</v>
      </c>
      <c r="E12" s="3"/>
      <c r="F12" s="24" t="n">
        <v>0.05</v>
      </c>
      <c r="G12" s="24" t="n">
        <v>0.06</v>
      </c>
      <c r="H12" s="24" t="n">
        <v>0.07</v>
      </c>
    </row>
    <row r="13" customFormat="false" ht="15" hidden="false" customHeight="false" outlineLevel="0" collapsed="false">
      <c r="A13" s="3" t="s">
        <v>323</v>
      </c>
      <c r="B13" s="36" t="n">
        <f aca="false">B$9*F13</f>
        <v>6652800</v>
      </c>
      <c r="C13" s="36" t="n">
        <f aca="false">C$9*G13</f>
        <v>7951500</v>
      </c>
      <c r="D13" s="36" t="n">
        <f aca="false">D$9*H13</f>
        <v>9720000</v>
      </c>
      <c r="E13" s="3"/>
      <c r="F13" s="24" t="n">
        <v>0.22</v>
      </c>
      <c r="G13" s="24" t="n">
        <v>0.19</v>
      </c>
      <c r="H13" s="24" t="n">
        <v>0.16</v>
      </c>
    </row>
    <row r="14" customFormat="false" ht="15" hidden="false" customHeight="false" outlineLevel="0" collapsed="false">
      <c r="A14" s="3" t="s">
        <v>324</v>
      </c>
      <c r="B14" s="36" t="n">
        <f aca="false">B$9*F14</f>
        <v>3931200</v>
      </c>
      <c r="C14" s="36" t="n">
        <f aca="false">C$9*G14</f>
        <v>5022000</v>
      </c>
      <c r="D14" s="36" t="n">
        <f aca="false">D$9*H14</f>
        <v>6682500</v>
      </c>
      <c r="E14" s="3"/>
      <c r="F14" s="24" t="n">
        <v>0.13</v>
      </c>
      <c r="G14" s="24" t="n">
        <v>0.12</v>
      </c>
      <c r="H14" s="24" t="n">
        <v>0.11</v>
      </c>
    </row>
    <row r="15" customFormat="false" ht="15" hidden="false" customHeight="false" outlineLevel="0" collapsed="false">
      <c r="A15" s="3" t="s">
        <v>325</v>
      </c>
      <c r="B15" s="36" t="n">
        <f aca="false">B$9*F15</f>
        <v>2721600</v>
      </c>
      <c r="C15" s="36" t="n">
        <f aca="false">C$9*G15</f>
        <v>3766500</v>
      </c>
      <c r="D15" s="36" t="n">
        <f aca="false">D$9*H15</f>
        <v>5467500</v>
      </c>
      <c r="E15" s="3"/>
      <c r="F15" s="24" t="n">
        <v>0.09</v>
      </c>
      <c r="G15" s="24" t="n">
        <v>0.09</v>
      </c>
      <c r="H15" s="24" t="n">
        <v>0.09</v>
      </c>
    </row>
    <row r="16" customFormat="false" ht="15" hidden="false" customHeight="false" outlineLevel="0" collapsed="false">
      <c r="A16" s="3" t="s">
        <v>326</v>
      </c>
      <c r="B16" s="36" t="n">
        <f aca="false">B$9*F16</f>
        <v>3024000</v>
      </c>
      <c r="C16" s="36" t="n">
        <f aca="false">C$9*G16</f>
        <v>4185000</v>
      </c>
      <c r="D16" s="36" t="n">
        <f aca="false">D$9*H16</f>
        <v>5467500</v>
      </c>
      <c r="E16" s="3"/>
      <c r="F16" s="24" t="n">
        <v>0.1</v>
      </c>
      <c r="G16" s="24" t="n">
        <v>0.1</v>
      </c>
      <c r="H16" s="24" t="n">
        <v>0.09</v>
      </c>
    </row>
    <row r="17" customFormat="false" ht="15" hidden="false" customHeight="false" outlineLevel="0" collapsed="false">
      <c r="A17" s="3" t="s">
        <v>327</v>
      </c>
      <c r="B17" s="36" t="n">
        <f aca="false">B$9*F17</f>
        <v>6652800</v>
      </c>
      <c r="C17" s="36" t="n">
        <f aca="false">C$9*G17</f>
        <v>10462500</v>
      </c>
      <c r="D17" s="36" t="n">
        <f aca="false">D$9*H17</f>
        <v>17617500</v>
      </c>
      <c r="E17" s="3"/>
      <c r="F17" s="24" t="n">
        <v>0.22</v>
      </c>
      <c r="G17" s="24" t="n">
        <v>0.25</v>
      </c>
      <c r="H17" s="24" t="n">
        <v>0.29</v>
      </c>
    </row>
    <row r="18" customFormat="false" ht="15" hidden="false" customHeight="false" outlineLevel="0" collapsed="false">
      <c r="A18" s="3" t="s">
        <v>328</v>
      </c>
      <c r="B18" s="36" t="n">
        <f aca="false">B$9*F18</f>
        <v>907200</v>
      </c>
      <c r="C18" s="36" t="n">
        <f aca="false">C$9*G18</f>
        <v>1255500</v>
      </c>
      <c r="D18" s="36" t="n">
        <f aca="false">D$9*H18</f>
        <v>1822500</v>
      </c>
      <c r="E18" s="3"/>
      <c r="F18" s="24" t="n">
        <v>0.03</v>
      </c>
      <c r="G18" s="24" t="n">
        <v>0.03</v>
      </c>
      <c r="H18" s="24" t="n">
        <v>0.03</v>
      </c>
    </row>
    <row r="19" customFormat="false" ht="15" hidden="false" customHeight="false" outlineLevel="0" collapsed="false">
      <c r="A19" s="3" t="s">
        <v>329</v>
      </c>
      <c r="B19" s="36" t="n">
        <f aca="false">B$9*F19</f>
        <v>907200</v>
      </c>
      <c r="C19" s="36" t="n">
        <f aca="false">C$9*G19</f>
        <v>1255500</v>
      </c>
      <c r="D19" s="36" t="n">
        <f aca="false">D$9*H19</f>
        <v>1822500</v>
      </c>
      <c r="E19" s="3"/>
      <c r="F19" s="24" t="n">
        <v>0.03</v>
      </c>
      <c r="G19" s="24" t="n">
        <v>0.03</v>
      </c>
      <c r="H19" s="24" t="n">
        <v>0.03</v>
      </c>
    </row>
    <row r="20" customFormat="false" ht="15" hidden="false" customHeight="false" outlineLevel="0" collapsed="false">
      <c r="A20" s="3" t="s">
        <v>330</v>
      </c>
      <c r="B20" s="36" t="n">
        <f aca="false">B$9*F20</f>
        <v>1209600</v>
      </c>
      <c r="C20" s="36" t="n">
        <f aca="false">C$9*G20</f>
        <v>1464750</v>
      </c>
      <c r="D20" s="36" t="n">
        <f aca="false">D$9*H20</f>
        <v>1822500</v>
      </c>
      <c r="E20" s="3"/>
      <c r="F20" s="24" t="n">
        <v>0.04</v>
      </c>
      <c r="G20" s="24" t="n">
        <v>0.035</v>
      </c>
      <c r="H20" s="24" t="n">
        <v>0.03</v>
      </c>
    </row>
    <row r="21" customFormat="false" ht="15" hidden="false" customHeight="false" outlineLevel="0" collapsed="false">
      <c r="A21" s="3" t="s">
        <v>331</v>
      </c>
      <c r="B21" s="36" t="n">
        <f aca="false">B$9*F21</f>
        <v>604800</v>
      </c>
      <c r="C21" s="36" t="n">
        <f aca="false">C$9*G21</f>
        <v>837000</v>
      </c>
      <c r="D21" s="36" t="n">
        <f aca="false">D$9*H21</f>
        <v>911250</v>
      </c>
      <c r="E21" s="3"/>
      <c r="F21" s="24" t="n">
        <v>0.02</v>
      </c>
      <c r="G21" s="24" t="n">
        <v>0.02</v>
      </c>
      <c r="H21" s="24" t="n">
        <v>0.015</v>
      </c>
    </row>
    <row r="22" customFormat="false" ht="15" hidden="false" customHeight="false" outlineLevel="0" collapsed="false">
      <c r="A22" s="3" t="s">
        <v>332</v>
      </c>
      <c r="B22" s="36" t="n">
        <f aca="false">B$9*F22</f>
        <v>604800</v>
      </c>
      <c r="C22" s="36" t="n">
        <f aca="false">C$9*G22</f>
        <v>1046250</v>
      </c>
      <c r="D22" s="36" t="n">
        <f aca="false">D$9*H22</f>
        <v>1822500</v>
      </c>
      <c r="E22" s="3"/>
      <c r="F22" s="24" t="n">
        <v>0.02</v>
      </c>
      <c r="G22" s="24" t="n">
        <v>0.025</v>
      </c>
      <c r="H22" s="24" t="n">
        <v>0.03</v>
      </c>
    </row>
    <row r="23" customFormat="false" ht="15" hidden="false" customHeight="false" outlineLevel="0" collapsed="false">
      <c r="A23" s="3" t="s">
        <v>333</v>
      </c>
      <c r="B23" s="36" t="n">
        <f aca="false">B$9*F23</f>
        <v>604800</v>
      </c>
      <c r="C23" s="36" t="n">
        <f aca="false">C$9*G23</f>
        <v>837000</v>
      </c>
      <c r="D23" s="36" t="n">
        <f aca="false">D$9*H23</f>
        <v>1518750</v>
      </c>
      <c r="E23" s="3"/>
      <c r="F23" s="24" t="n">
        <v>0.02</v>
      </c>
      <c r="G23" s="24" t="n">
        <v>0.02</v>
      </c>
      <c r="H23" s="24" t="n">
        <v>0.025</v>
      </c>
    </row>
    <row r="24" customFormat="false" ht="15" hidden="false" customHeight="false" outlineLevel="0" collapsed="false">
      <c r="A24" s="3" t="s">
        <v>334</v>
      </c>
      <c r="B24" s="36" t="n">
        <f aca="false">B$9*F24</f>
        <v>907200</v>
      </c>
      <c r="C24" s="36" t="n">
        <f aca="false">C$9*G24</f>
        <v>1255500</v>
      </c>
      <c r="D24" s="36" t="n">
        <f aca="false">D$9*H24</f>
        <v>1822500</v>
      </c>
      <c r="E24" s="3"/>
      <c r="F24" s="24" t="n">
        <v>0.03</v>
      </c>
      <c r="G24" s="24" t="n">
        <v>0.03</v>
      </c>
      <c r="H24" s="24" t="n">
        <v>0.03</v>
      </c>
    </row>
    <row r="25" customFormat="false" ht="15" hidden="false" customHeight="false" outlineLevel="0" collapsed="false">
      <c r="A25" s="14" t="s">
        <v>335</v>
      </c>
      <c r="B25" s="40" t="n">
        <f aca="false">SUM(B12:B24)</f>
        <v>30240000</v>
      </c>
      <c r="C25" s="40" t="n">
        <f aca="false">SUM(C12:C24)</f>
        <v>41850000</v>
      </c>
      <c r="D25" s="40" t="n">
        <f aca="false">SUM(D12:D24)</f>
        <v>60750000</v>
      </c>
      <c r="E25" s="3"/>
      <c r="F25" s="42" t="n">
        <f aca="false">SUM(F12:F24)</f>
        <v>1</v>
      </c>
      <c r="G25" s="42" t="n">
        <f aca="false">SUM(G12:G24)</f>
        <v>1</v>
      </c>
      <c r="H25" s="42" t="n">
        <f aca="false">SUM(H12:H24)</f>
        <v>1</v>
      </c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 t="s">
        <v>336</v>
      </c>
      <c r="B27" s="36" t="n">
        <f aca="false">B9*F27</f>
        <v>2116800</v>
      </c>
      <c r="C27" s="36" t="n">
        <f aca="false">C9*G27</f>
        <v>3348000</v>
      </c>
      <c r="D27" s="36" t="n">
        <f aca="false">D9*H27</f>
        <v>6075000</v>
      </c>
      <c r="E27" s="3"/>
      <c r="F27" s="24" t="n">
        <v>0.07</v>
      </c>
      <c r="G27" s="24" t="n">
        <v>0.08</v>
      </c>
      <c r="H27" s="24" t="n">
        <v>0.1</v>
      </c>
    </row>
    <row r="28" customFormat="false" ht="15" hidden="false" customHeight="false" outlineLevel="0" collapsed="false">
      <c r="A28" s="3" t="s">
        <v>337</v>
      </c>
      <c r="B28" s="36" t="n">
        <f aca="false">B9*F28</f>
        <v>907200</v>
      </c>
      <c r="C28" s="36" t="n">
        <f aca="false">C9*G28</f>
        <v>1255500</v>
      </c>
      <c r="D28" s="36" t="n">
        <f aca="false">D9*H28</f>
        <v>1822500</v>
      </c>
      <c r="E28" s="3"/>
      <c r="F28" s="24" t="n">
        <v>0.03</v>
      </c>
      <c r="G28" s="24" t="n">
        <v>0.03</v>
      </c>
      <c r="H28" s="24" t="n">
        <v>0.03</v>
      </c>
    </row>
    <row r="29" customFormat="false" ht="15" hidden="false" customHeight="false" outlineLevel="0" collapsed="false">
      <c r="A29" s="3" t="s">
        <v>338</v>
      </c>
      <c r="B29" s="36" t="n">
        <f aca="false">B9*F29</f>
        <v>907200</v>
      </c>
      <c r="C29" s="36" t="n">
        <f aca="false">C9*G29</f>
        <v>1255500</v>
      </c>
      <c r="D29" s="36" t="n">
        <f aca="false">D9*H29</f>
        <v>1822500</v>
      </c>
      <c r="E29" s="3"/>
      <c r="F29" s="24" t="n">
        <v>0.03</v>
      </c>
      <c r="G29" s="24" t="n">
        <v>0.03</v>
      </c>
      <c r="H29" s="24" t="n">
        <v>0.03</v>
      </c>
    </row>
    <row r="30" customFormat="false" ht="15" hidden="false" customHeight="false" outlineLevel="0" collapsed="false">
      <c r="A30" s="14" t="s">
        <v>339</v>
      </c>
      <c r="B30" s="33" t="n">
        <f aca="false">B9+B27+B28+B29</f>
        <v>34171200</v>
      </c>
      <c r="C30" s="33" t="n">
        <f aca="false">C9+C27+C28+C29</f>
        <v>47709000</v>
      </c>
      <c r="D30" s="33" t="n">
        <f aca="false">D9+D27+D28+D29</f>
        <v>70470000</v>
      </c>
      <c r="E30" s="3"/>
      <c r="F30" s="3"/>
      <c r="G30" s="3"/>
      <c r="H30" s="3"/>
    </row>
    <row r="31" customFormat="false" ht="15" hidden="false" customHeight="false" outlineLevel="0" collapsed="false">
      <c r="A31" s="3" t="s">
        <v>340</v>
      </c>
      <c r="B31" s="36" t="n">
        <f aca="false">B30/B6</f>
        <v>474600</v>
      </c>
      <c r="C31" s="36" t="n">
        <f aca="false">C30/C6</f>
        <v>662625</v>
      </c>
      <c r="D31" s="36" t="n">
        <f aca="false">D30/D6</f>
        <v>978750</v>
      </c>
      <c r="E31" s="3"/>
      <c r="F31" s="3"/>
      <c r="G31" s="3"/>
      <c r="H31" s="3"/>
    </row>
    <row r="32" customFormat="false" ht="15" hidden="false" customHeight="false" outlineLevel="0" collapsed="false">
      <c r="A32" s="3" t="s">
        <v>341</v>
      </c>
      <c r="B32" s="38" t="s">
        <v>342</v>
      </c>
      <c r="C32" s="38" t="s">
        <v>343</v>
      </c>
      <c r="D32" s="38" t="s">
        <v>344</v>
      </c>
      <c r="E32" s="3"/>
      <c r="F32" s="3"/>
      <c r="G32" s="3"/>
      <c r="H32" s="3"/>
    </row>
    <row r="33" customFormat="false" ht="15" hidden="false" customHeight="false" outlineLevel="0" collapsed="false">
      <c r="A33" s="3" t="s">
        <v>345</v>
      </c>
      <c r="B33" s="38" t="s">
        <v>346</v>
      </c>
      <c r="C33" s="38" t="s">
        <v>347</v>
      </c>
      <c r="D33" s="38" t="s">
        <v>348</v>
      </c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7" t="s">
        <v>349</v>
      </c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14" t="s">
        <v>350</v>
      </c>
      <c r="B36" s="14" t="s">
        <v>351</v>
      </c>
      <c r="C36" s="14" t="s">
        <v>352</v>
      </c>
      <c r="D36" s="14" t="s">
        <v>353</v>
      </c>
      <c r="E36" s="14"/>
      <c r="F36" s="14" t="s">
        <v>354</v>
      </c>
      <c r="G36" s="14" t="s">
        <v>355</v>
      </c>
      <c r="H36" s="3"/>
    </row>
    <row r="37" customFormat="false" ht="15" hidden="false" customHeight="false" outlineLevel="0" collapsed="false">
      <c r="A37" s="3" t="s">
        <v>356</v>
      </c>
      <c r="B37" s="23" t="n">
        <v>1</v>
      </c>
      <c r="C37" s="23" t="n">
        <v>1</v>
      </c>
      <c r="D37" s="43" t="n">
        <f aca="false">$C$30/$C$8*B37</f>
        <v>63612000</v>
      </c>
      <c r="E37" s="3"/>
      <c r="F37" s="43" t="n">
        <f aca="false">$C$30/$C$8*C37</f>
        <v>63612000</v>
      </c>
      <c r="G37" s="6" t="s">
        <v>357</v>
      </c>
      <c r="H37" s="3"/>
    </row>
    <row r="38" customFormat="false" ht="15" hidden="false" customHeight="false" outlineLevel="0" collapsed="false">
      <c r="A38" s="3" t="s">
        <v>358</v>
      </c>
      <c r="B38" s="23" t="n">
        <v>0.95</v>
      </c>
      <c r="C38" s="23" t="n">
        <v>1.05</v>
      </c>
      <c r="D38" s="43" t="n">
        <f aca="false">$C$30/$C$8*B38</f>
        <v>60431400</v>
      </c>
      <c r="E38" s="3"/>
      <c r="F38" s="43" t="n">
        <f aca="false">$C$30/$C$8*C38</f>
        <v>66792600</v>
      </c>
      <c r="G38" s="6" t="s">
        <v>359</v>
      </c>
      <c r="H38" s="3"/>
    </row>
    <row r="39" customFormat="false" ht="15" hidden="false" customHeight="false" outlineLevel="0" collapsed="false">
      <c r="A39" s="3" t="s">
        <v>360</v>
      </c>
      <c r="B39" s="23" t="n">
        <v>0.8</v>
      </c>
      <c r="C39" s="23" t="n">
        <v>0.9</v>
      </c>
      <c r="D39" s="43" t="n">
        <f aca="false">$C$30/$C$8*B39</f>
        <v>50889600</v>
      </c>
      <c r="E39" s="3"/>
      <c r="F39" s="43" t="n">
        <f aca="false">$C$30/$C$8*C39</f>
        <v>57250800</v>
      </c>
      <c r="G39" s="6" t="s">
        <v>361</v>
      </c>
      <c r="H39" s="3"/>
    </row>
    <row r="40" customFormat="false" ht="15" hidden="false" customHeight="false" outlineLevel="0" collapsed="false">
      <c r="A40" s="3" t="s">
        <v>362</v>
      </c>
      <c r="B40" s="23" t="n">
        <v>0.75</v>
      </c>
      <c r="C40" s="23" t="n">
        <v>0.9</v>
      </c>
      <c r="D40" s="43" t="n">
        <f aca="false">$C$30/$C$8*B40</f>
        <v>47709000</v>
      </c>
      <c r="E40" s="3"/>
      <c r="F40" s="43" t="n">
        <f aca="false">$C$30/$C$8*C40</f>
        <v>57250800</v>
      </c>
      <c r="G40" s="6" t="s">
        <v>363</v>
      </c>
      <c r="H40" s="3"/>
    </row>
    <row r="41" customFormat="false" ht="15" hidden="false" customHeight="false" outlineLevel="0" collapsed="false">
      <c r="A41" s="3" t="s">
        <v>364</v>
      </c>
      <c r="B41" s="23" t="n">
        <v>0.65</v>
      </c>
      <c r="C41" s="23" t="n">
        <v>0.8</v>
      </c>
      <c r="D41" s="43" t="n">
        <f aca="false">$C$30/$C$8*B41</f>
        <v>41347800</v>
      </c>
      <c r="E41" s="3"/>
      <c r="F41" s="43" t="n">
        <f aca="false">$C$30/$C$8*C41</f>
        <v>50889600</v>
      </c>
      <c r="G41" s="6" t="s">
        <v>365</v>
      </c>
      <c r="H41" s="3"/>
    </row>
    <row r="42" customFormat="false" ht="15" hidden="false" customHeight="false" outlineLevel="0" collapsed="false">
      <c r="A42" s="3" t="s">
        <v>366</v>
      </c>
      <c r="B42" s="23" t="n">
        <v>0.6</v>
      </c>
      <c r="C42" s="23" t="n">
        <v>0.75</v>
      </c>
      <c r="D42" s="43" t="n">
        <f aca="false">$C$30/$C$8*B42</f>
        <v>38167200</v>
      </c>
      <c r="E42" s="3"/>
      <c r="F42" s="43" t="n">
        <f aca="false">$C$30/$C$8*C42</f>
        <v>47709000</v>
      </c>
      <c r="G42" s="6" t="s">
        <v>367</v>
      </c>
      <c r="H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  <col collapsed="false" customWidth="true" hidden="false" outlineLevel="0" max="5" min="5" style="0" width="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368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6" t="s">
        <v>369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7" t="s">
        <v>370</v>
      </c>
      <c r="B4" s="8"/>
      <c r="C4" s="8"/>
      <c r="D4" s="8"/>
      <c r="E4" s="8"/>
      <c r="F4" s="8"/>
      <c r="G4" s="3"/>
      <c r="H4" s="3"/>
    </row>
    <row r="5" customFormat="false" ht="15" hidden="false" customHeight="false" outlineLevel="0" collapsed="false">
      <c r="A5" s="14" t="s">
        <v>371</v>
      </c>
      <c r="B5" s="14" t="s">
        <v>154</v>
      </c>
      <c r="C5" s="14" t="s">
        <v>155</v>
      </c>
      <c r="D5" s="14" t="s">
        <v>372</v>
      </c>
      <c r="E5" s="3"/>
      <c r="F5" s="3"/>
      <c r="G5" s="3"/>
      <c r="H5" s="3"/>
    </row>
    <row r="6" customFormat="false" ht="15" hidden="false" customHeight="false" outlineLevel="0" collapsed="false">
      <c r="A6" s="3" t="s">
        <v>373</v>
      </c>
      <c r="B6" s="38" t="n">
        <v>36</v>
      </c>
      <c r="C6" s="38" t="n">
        <v>72</v>
      </c>
      <c r="D6" s="3"/>
      <c r="E6" s="3"/>
      <c r="F6" s="3"/>
      <c r="G6" s="3"/>
      <c r="H6" s="3"/>
    </row>
    <row r="7" customFormat="false" ht="15" hidden="false" customHeight="false" outlineLevel="0" collapsed="false">
      <c r="A7" s="3" t="s">
        <v>374</v>
      </c>
      <c r="B7" s="32" t="n">
        <v>247650</v>
      </c>
      <c r="C7" s="32" t="n">
        <v>280000</v>
      </c>
      <c r="D7" s="32" t="n">
        <v>342000</v>
      </c>
      <c r="E7" s="3"/>
      <c r="F7" s="6" t="s">
        <v>375</v>
      </c>
      <c r="G7" s="3"/>
      <c r="H7" s="3"/>
    </row>
    <row r="8" customFormat="false" ht="15" hidden="false" customHeight="false" outlineLevel="0" collapsed="false">
      <c r="A8" s="3" t="s">
        <v>376</v>
      </c>
      <c r="B8" s="24" t="n">
        <v>0.3</v>
      </c>
      <c r="C8" s="24" t="n">
        <v>0.32</v>
      </c>
      <c r="D8" s="24" t="n">
        <v>0.35</v>
      </c>
      <c r="E8" s="3"/>
      <c r="F8" s="6" t="s">
        <v>377</v>
      </c>
      <c r="G8" s="3"/>
      <c r="H8" s="3"/>
    </row>
    <row r="9" customFormat="false" ht="15" hidden="false" customHeight="false" outlineLevel="0" collapsed="false">
      <c r="A9" s="3" t="s">
        <v>378</v>
      </c>
      <c r="B9" s="24" t="n">
        <v>0.12</v>
      </c>
      <c r="C9" s="24" t="n">
        <v>0.12</v>
      </c>
      <c r="D9" s="24" t="n">
        <v>0.12</v>
      </c>
      <c r="E9" s="3"/>
      <c r="F9" s="6" t="s">
        <v>379</v>
      </c>
      <c r="G9" s="3"/>
      <c r="H9" s="3"/>
    </row>
    <row r="10" customFormat="false" ht="15" hidden="false" customHeight="false" outlineLevel="0" collapsed="false">
      <c r="A10" s="3" t="s">
        <v>380</v>
      </c>
      <c r="B10" s="24" t="n">
        <v>0.08</v>
      </c>
      <c r="C10" s="24" t="n">
        <v>0.1</v>
      </c>
      <c r="D10" s="24" t="n">
        <v>0.12</v>
      </c>
      <c r="E10" s="3"/>
      <c r="F10" s="6" t="s">
        <v>381</v>
      </c>
      <c r="G10" s="3"/>
      <c r="H10" s="3"/>
    </row>
    <row r="11" customFormat="false" ht="15" hidden="false" customHeight="false" outlineLevel="0" collapsed="false">
      <c r="A11" s="3" t="s">
        <v>382</v>
      </c>
      <c r="B11" s="26" t="n">
        <v>300</v>
      </c>
      <c r="C11" s="26" t="n">
        <v>450</v>
      </c>
      <c r="D11" s="26" t="n">
        <v>700</v>
      </c>
      <c r="E11" s="3"/>
      <c r="F11" s="6" t="s">
        <v>383</v>
      </c>
      <c r="G11" s="3"/>
      <c r="H11" s="3"/>
    </row>
    <row r="12" customFormat="false" ht="15" hidden="false" customHeight="false" outlineLevel="0" collapsed="false">
      <c r="A12" s="3" t="s">
        <v>384</v>
      </c>
      <c r="B12" s="26" t="n">
        <v>0</v>
      </c>
      <c r="C12" s="26" t="n">
        <v>0</v>
      </c>
      <c r="D12" s="26" t="n">
        <v>15000</v>
      </c>
      <c r="E12" s="3"/>
      <c r="F12" s="6" t="s">
        <v>385</v>
      </c>
      <c r="G12" s="3"/>
      <c r="H12" s="3"/>
    </row>
    <row r="13" customFormat="false" ht="15" hidden="false" customHeight="false" outlineLevel="0" collapsed="false">
      <c r="A13" s="14" t="s">
        <v>386</v>
      </c>
      <c r="B13" s="40" t="n">
        <f aca="false">B7*(1+B8+B9)+B12</f>
        <v>351663</v>
      </c>
      <c r="C13" s="40" t="n">
        <f aca="false">C7*(1+C8+C9)+C12</f>
        <v>403200</v>
      </c>
      <c r="D13" s="40" t="n">
        <f aca="false">D7*(1+D8+D9)+D12</f>
        <v>517740</v>
      </c>
      <c r="E13" s="3"/>
      <c r="F13" s="3"/>
      <c r="G13" s="3"/>
      <c r="H13" s="3"/>
    </row>
    <row r="14" customFormat="false" ht="15" hidden="false" customHeight="false" outlineLevel="0" collapsed="false">
      <c r="A14" s="14" t="s">
        <v>387</v>
      </c>
      <c r="B14" s="33" t="n">
        <f aca="false">B13+B7*B10+B11*$C$6</f>
        <v>393075</v>
      </c>
      <c r="C14" s="33" t="n">
        <f aca="false">C13+C7*C10+C11*$C$6</f>
        <v>463600</v>
      </c>
      <c r="D14" s="33" t="n">
        <f aca="false">D13+D7*D10+D11*$C$6</f>
        <v>609180</v>
      </c>
      <c r="E14" s="3"/>
      <c r="F14" s="3"/>
      <c r="G14" s="3"/>
      <c r="H14" s="3"/>
    </row>
    <row r="15" customFormat="false" ht="15" hidden="false" customHeight="false" outlineLevel="0" collapsed="false">
      <c r="A15" s="3" t="s">
        <v>388</v>
      </c>
      <c r="B15" s="36" t="n">
        <f aca="false">B14/$B$6</f>
        <v>10918.75</v>
      </c>
      <c r="C15" s="36" t="n">
        <f aca="false">C14/$B$6</f>
        <v>12877.7777777778</v>
      </c>
      <c r="D15" s="36" t="n">
        <f aca="false">D14/$B$6</f>
        <v>16921.6666666667</v>
      </c>
      <c r="E15" s="3"/>
      <c r="F15" s="3"/>
      <c r="G15" s="3"/>
      <c r="H15" s="3"/>
    </row>
    <row r="16" customFormat="false" ht="15" hidden="false" customHeight="false" outlineLevel="0" collapsed="false">
      <c r="A16" s="3" t="s">
        <v>389</v>
      </c>
      <c r="B16" s="36" t="n">
        <f aca="false">B14/$C$6</f>
        <v>5459.375</v>
      </c>
      <c r="C16" s="36" t="n">
        <f aca="false">C14/$C$6</f>
        <v>6438.88888888889</v>
      </c>
      <c r="D16" s="36" t="n">
        <f aca="false">D14/$C$6</f>
        <v>8460.83333333333</v>
      </c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7" t="s">
        <v>390</v>
      </c>
      <c r="B18" s="8"/>
      <c r="C18" s="8"/>
      <c r="D18" s="8"/>
      <c r="E18" s="8"/>
      <c r="F18" s="8"/>
      <c r="G18" s="3"/>
      <c r="H18" s="3"/>
    </row>
    <row r="19" customFormat="false" ht="15" hidden="false" customHeight="false" outlineLevel="0" collapsed="false">
      <c r="A19" s="14" t="s">
        <v>371</v>
      </c>
      <c r="B19" s="14" t="s">
        <v>154</v>
      </c>
      <c r="C19" s="14" t="s">
        <v>155</v>
      </c>
      <c r="D19" s="14" t="s">
        <v>372</v>
      </c>
      <c r="E19" s="3"/>
      <c r="F19" s="3"/>
      <c r="G19" s="3"/>
      <c r="H19" s="3"/>
    </row>
    <row r="20" customFormat="false" ht="15" hidden="false" customHeight="false" outlineLevel="0" collapsed="false">
      <c r="A20" s="3" t="s">
        <v>373</v>
      </c>
      <c r="B20" s="38" t="n">
        <v>24</v>
      </c>
      <c r="C20" s="38" t="n">
        <v>49</v>
      </c>
      <c r="D20" s="3"/>
      <c r="E20" s="3"/>
      <c r="F20" s="3"/>
      <c r="G20" s="3"/>
      <c r="H20" s="3"/>
    </row>
    <row r="21" customFormat="false" ht="15" hidden="false" customHeight="false" outlineLevel="0" collapsed="false">
      <c r="A21" s="3" t="s">
        <v>374</v>
      </c>
      <c r="B21" s="32" t="n">
        <v>92000</v>
      </c>
      <c r="C21" s="32" t="n">
        <v>135000</v>
      </c>
      <c r="D21" s="32" t="n">
        <v>172900</v>
      </c>
      <c r="E21" s="3"/>
      <c r="F21" s="6" t="s">
        <v>391</v>
      </c>
      <c r="G21" s="3"/>
      <c r="H21" s="3"/>
    </row>
    <row r="22" customFormat="false" ht="15" hidden="false" customHeight="false" outlineLevel="0" collapsed="false">
      <c r="A22" s="3" t="s">
        <v>376</v>
      </c>
      <c r="B22" s="24" t="n">
        <v>0.3</v>
      </c>
      <c r="C22" s="24" t="n">
        <v>0.32</v>
      </c>
      <c r="D22" s="24" t="n">
        <v>0.35</v>
      </c>
      <c r="E22" s="3"/>
      <c r="F22" s="6" t="s">
        <v>377</v>
      </c>
      <c r="G22" s="3"/>
      <c r="H22" s="3"/>
    </row>
    <row r="23" customFormat="false" ht="15" hidden="false" customHeight="false" outlineLevel="0" collapsed="false">
      <c r="A23" s="3" t="s">
        <v>378</v>
      </c>
      <c r="B23" s="24" t="n">
        <v>0.12</v>
      </c>
      <c r="C23" s="24" t="n">
        <v>0.12</v>
      </c>
      <c r="D23" s="24" t="n">
        <v>0.12</v>
      </c>
      <c r="E23" s="3"/>
      <c r="F23" s="6" t="s">
        <v>379</v>
      </c>
      <c r="G23" s="3"/>
      <c r="H23" s="3"/>
    </row>
    <row r="24" customFormat="false" ht="15" hidden="false" customHeight="false" outlineLevel="0" collapsed="false">
      <c r="A24" s="3" t="s">
        <v>380</v>
      </c>
      <c r="B24" s="24" t="n">
        <v>0.08</v>
      </c>
      <c r="C24" s="24" t="n">
        <v>0.1</v>
      </c>
      <c r="D24" s="24" t="n">
        <v>0.12</v>
      </c>
      <c r="E24" s="3"/>
      <c r="F24" s="6" t="s">
        <v>381</v>
      </c>
      <c r="G24" s="3"/>
      <c r="H24" s="3"/>
    </row>
    <row r="25" customFormat="false" ht="15" hidden="false" customHeight="false" outlineLevel="0" collapsed="false">
      <c r="A25" s="3" t="s">
        <v>382</v>
      </c>
      <c r="B25" s="26" t="n">
        <v>300</v>
      </c>
      <c r="C25" s="26" t="n">
        <v>450</v>
      </c>
      <c r="D25" s="26" t="n">
        <v>700</v>
      </c>
      <c r="E25" s="3"/>
      <c r="F25" s="6" t="s">
        <v>383</v>
      </c>
      <c r="G25" s="3"/>
      <c r="H25" s="3"/>
    </row>
    <row r="26" customFormat="false" ht="15" hidden="false" customHeight="false" outlineLevel="0" collapsed="false">
      <c r="A26" s="3" t="s">
        <v>384</v>
      </c>
      <c r="B26" s="26" t="n">
        <v>0</v>
      </c>
      <c r="C26" s="26" t="n">
        <v>0</v>
      </c>
      <c r="D26" s="26" t="n">
        <v>15000</v>
      </c>
      <c r="E26" s="3"/>
      <c r="F26" s="6" t="s">
        <v>385</v>
      </c>
      <c r="G26" s="3"/>
      <c r="H26" s="3"/>
    </row>
    <row r="27" customFormat="false" ht="15" hidden="false" customHeight="false" outlineLevel="0" collapsed="false">
      <c r="A27" s="14" t="s">
        <v>386</v>
      </c>
      <c r="B27" s="40" t="n">
        <f aca="false">B21*(1+B22+B23)+B26</f>
        <v>130640</v>
      </c>
      <c r="C27" s="40" t="n">
        <f aca="false">C21*(1+C22+C23)+C26</f>
        <v>194400</v>
      </c>
      <c r="D27" s="40" t="n">
        <f aca="false">D21*(1+D22+D23)+D26</f>
        <v>269163</v>
      </c>
      <c r="E27" s="3"/>
      <c r="F27" s="3"/>
      <c r="G27" s="3"/>
      <c r="H27" s="3"/>
    </row>
    <row r="28" customFormat="false" ht="15" hidden="false" customHeight="false" outlineLevel="0" collapsed="false">
      <c r="A28" s="14" t="s">
        <v>387</v>
      </c>
      <c r="B28" s="33" t="n">
        <f aca="false">B27+B21*B24+B25*$C$20</f>
        <v>152700</v>
      </c>
      <c r="C28" s="33" t="n">
        <f aca="false">C27+C21*C24+C25*$C$20</f>
        <v>229950</v>
      </c>
      <c r="D28" s="33" t="n">
        <f aca="false">D27+D21*D24+D25*$C$20</f>
        <v>324211</v>
      </c>
      <c r="E28" s="3"/>
      <c r="F28" s="3"/>
      <c r="G28" s="3"/>
      <c r="H28" s="3"/>
    </row>
    <row r="29" customFormat="false" ht="15" hidden="false" customHeight="false" outlineLevel="0" collapsed="false">
      <c r="A29" s="3" t="s">
        <v>388</v>
      </c>
      <c r="B29" s="36" t="n">
        <f aca="false">B28/$B$20</f>
        <v>6362.5</v>
      </c>
      <c r="C29" s="36" t="n">
        <f aca="false">C28/$B$20</f>
        <v>9581.25</v>
      </c>
      <c r="D29" s="36" t="n">
        <f aca="false">D28/$B$20</f>
        <v>13508.7916666667</v>
      </c>
      <c r="E29" s="3"/>
      <c r="F29" s="3"/>
      <c r="G29" s="3"/>
      <c r="H29" s="3"/>
    </row>
    <row r="30" customFormat="false" ht="15" hidden="false" customHeight="false" outlineLevel="0" collapsed="false">
      <c r="A30" s="3" t="s">
        <v>389</v>
      </c>
      <c r="B30" s="36" t="n">
        <f aca="false">B28/$C$20</f>
        <v>3116.32653061225</v>
      </c>
      <c r="C30" s="36" t="n">
        <f aca="false">C28/$C$20</f>
        <v>4692.85714285714</v>
      </c>
      <c r="D30" s="36" t="n">
        <f aca="false">D28/$C$20</f>
        <v>6616.55102040816</v>
      </c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7" t="s">
        <v>392</v>
      </c>
      <c r="B32" s="8"/>
      <c r="C32" s="8"/>
      <c r="D32" s="8"/>
      <c r="E32" s="8"/>
      <c r="F32" s="8"/>
      <c r="G32" s="3"/>
      <c r="H32" s="3"/>
    </row>
    <row r="33" customFormat="false" ht="15" hidden="false" customHeight="false" outlineLevel="0" collapsed="false">
      <c r="A33" s="14" t="s">
        <v>371</v>
      </c>
      <c r="B33" s="14" t="s">
        <v>154</v>
      </c>
      <c r="C33" s="14" t="s">
        <v>155</v>
      </c>
      <c r="D33" s="14" t="s">
        <v>372</v>
      </c>
      <c r="E33" s="3"/>
      <c r="F33" s="3"/>
      <c r="G33" s="3"/>
      <c r="H33" s="3"/>
    </row>
    <row r="34" customFormat="false" ht="15" hidden="false" customHeight="false" outlineLevel="0" collapsed="false">
      <c r="A34" s="3" t="s">
        <v>373</v>
      </c>
      <c r="B34" s="38" t="n">
        <v>18</v>
      </c>
      <c r="C34" s="38" t="n">
        <v>36</v>
      </c>
      <c r="D34" s="3"/>
      <c r="E34" s="3"/>
      <c r="F34" s="3"/>
      <c r="G34" s="3"/>
      <c r="H34" s="3"/>
    </row>
    <row r="35" customFormat="false" ht="15" hidden="false" customHeight="false" outlineLevel="0" collapsed="false">
      <c r="A35" s="3" t="s">
        <v>374</v>
      </c>
      <c r="B35" s="32" t="n">
        <v>76000</v>
      </c>
      <c r="C35" s="32" t="n">
        <v>95000</v>
      </c>
      <c r="D35" s="32" t="n">
        <v>115000</v>
      </c>
      <c r="E35" s="3"/>
      <c r="F35" s="6" t="s">
        <v>393</v>
      </c>
      <c r="G35" s="3"/>
      <c r="H35" s="3"/>
    </row>
    <row r="36" customFormat="false" ht="15" hidden="false" customHeight="false" outlineLevel="0" collapsed="false">
      <c r="A36" s="3" t="s">
        <v>376</v>
      </c>
      <c r="B36" s="24" t="n">
        <v>0.3</v>
      </c>
      <c r="C36" s="24" t="n">
        <v>0.32</v>
      </c>
      <c r="D36" s="24" t="n">
        <v>0.35</v>
      </c>
      <c r="E36" s="3"/>
      <c r="F36" s="6" t="s">
        <v>377</v>
      </c>
      <c r="G36" s="3"/>
      <c r="H36" s="3"/>
    </row>
    <row r="37" customFormat="false" ht="15" hidden="false" customHeight="false" outlineLevel="0" collapsed="false">
      <c r="A37" s="3" t="s">
        <v>378</v>
      </c>
      <c r="B37" s="24" t="n">
        <v>0.12</v>
      </c>
      <c r="C37" s="24" t="n">
        <v>0.12</v>
      </c>
      <c r="D37" s="24" t="n">
        <v>0.12</v>
      </c>
      <c r="E37" s="3"/>
      <c r="F37" s="6" t="s">
        <v>379</v>
      </c>
      <c r="G37" s="3"/>
      <c r="H37" s="3"/>
    </row>
    <row r="38" customFormat="false" ht="15" hidden="false" customHeight="false" outlineLevel="0" collapsed="false">
      <c r="A38" s="3" t="s">
        <v>380</v>
      </c>
      <c r="B38" s="24" t="n">
        <v>0.08</v>
      </c>
      <c r="C38" s="24" t="n">
        <v>0.1</v>
      </c>
      <c r="D38" s="24" t="n">
        <v>0.12</v>
      </c>
      <c r="E38" s="3"/>
      <c r="F38" s="6" t="s">
        <v>381</v>
      </c>
      <c r="G38" s="3"/>
      <c r="H38" s="3"/>
    </row>
    <row r="39" customFormat="false" ht="15" hidden="false" customHeight="false" outlineLevel="0" collapsed="false">
      <c r="A39" s="3" t="s">
        <v>382</v>
      </c>
      <c r="B39" s="26" t="n">
        <v>300</v>
      </c>
      <c r="C39" s="26" t="n">
        <v>450</v>
      </c>
      <c r="D39" s="26" t="n">
        <v>700</v>
      </c>
      <c r="E39" s="3"/>
      <c r="F39" s="6" t="s">
        <v>383</v>
      </c>
      <c r="G39" s="3"/>
      <c r="H39" s="3"/>
    </row>
    <row r="40" customFormat="false" ht="15" hidden="false" customHeight="false" outlineLevel="0" collapsed="false">
      <c r="A40" s="3" t="s">
        <v>384</v>
      </c>
      <c r="B40" s="26" t="n">
        <v>0</v>
      </c>
      <c r="C40" s="26" t="n">
        <v>0</v>
      </c>
      <c r="D40" s="26" t="n">
        <v>15000</v>
      </c>
      <c r="E40" s="3"/>
      <c r="F40" s="6" t="s">
        <v>385</v>
      </c>
      <c r="G40" s="3"/>
      <c r="H40" s="3"/>
    </row>
    <row r="41" customFormat="false" ht="15" hidden="false" customHeight="false" outlineLevel="0" collapsed="false">
      <c r="A41" s="14" t="s">
        <v>386</v>
      </c>
      <c r="B41" s="40" t="n">
        <f aca="false">B35*(1+B36+B37)+B40</f>
        <v>107920</v>
      </c>
      <c r="C41" s="40" t="n">
        <f aca="false">C35*(1+C36+C37)+C40</f>
        <v>136800</v>
      </c>
      <c r="D41" s="40" t="n">
        <f aca="false">D35*(1+D36+D37)+D40</f>
        <v>184050</v>
      </c>
      <c r="E41" s="3"/>
      <c r="F41" s="3"/>
      <c r="G41" s="3"/>
      <c r="H41" s="3"/>
    </row>
    <row r="42" customFormat="false" ht="15" hidden="false" customHeight="false" outlineLevel="0" collapsed="false">
      <c r="A42" s="14" t="s">
        <v>387</v>
      </c>
      <c r="B42" s="33" t="n">
        <f aca="false">B41+B35*B38+B39*$C$34</f>
        <v>124800</v>
      </c>
      <c r="C42" s="33" t="n">
        <f aca="false">C41+C35*C38+C39*$C$34</f>
        <v>162500</v>
      </c>
      <c r="D42" s="33" t="n">
        <f aca="false">D41+D35*D38+D39*$C$34</f>
        <v>223050</v>
      </c>
      <c r="E42" s="3"/>
      <c r="F42" s="3"/>
      <c r="G42" s="3"/>
      <c r="H42" s="3"/>
    </row>
    <row r="43" customFormat="false" ht="15" hidden="false" customHeight="false" outlineLevel="0" collapsed="false">
      <c r="A43" s="3" t="s">
        <v>388</v>
      </c>
      <c r="B43" s="36" t="n">
        <f aca="false">B42/$B$34</f>
        <v>6933.33333333333</v>
      </c>
      <c r="C43" s="36" t="n">
        <f aca="false">C42/$B$34</f>
        <v>9027.77777777778</v>
      </c>
      <c r="D43" s="36" t="n">
        <f aca="false">D42/$B$34</f>
        <v>12391.6666666667</v>
      </c>
      <c r="E43" s="3"/>
      <c r="F43" s="3"/>
      <c r="G43" s="3"/>
      <c r="H43" s="3"/>
    </row>
    <row r="44" customFormat="false" ht="15" hidden="false" customHeight="false" outlineLevel="0" collapsed="false">
      <c r="A44" s="3" t="s">
        <v>389</v>
      </c>
      <c r="B44" s="36" t="n">
        <f aca="false">B42/$C$34</f>
        <v>3466.66666666667</v>
      </c>
      <c r="C44" s="36" t="n">
        <f aca="false">C42/$C$34</f>
        <v>4513.88888888889</v>
      </c>
      <c r="D44" s="36" t="n">
        <f aca="false">D42/$C$34</f>
        <v>6195.83333333333</v>
      </c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6" t="s">
        <v>394</v>
      </c>
      <c r="B46" s="3"/>
      <c r="C46" s="3"/>
      <c r="D46" s="3"/>
      <c r="E46" s="3"/>
      <c r="F46" s="3"/>
      <c r="G46" s="3"/>
      <c r="H4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16" min="3" style="0" width="12"/>
  </cols>
  <sheetData>
    <row r="1" customFormat="false" ht="17.35" hidden="false" customHeight="false" outlineLevel="0" collapsed="false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6" t="s">
        <v>396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3"/>
      <c r="B4" s="19" t="s">
        <v>397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3"/>
      <c r="B5" s="14" t="s">
        <v>398</v>
      </c>
      <c r="C5" s="44" t="n">
        <v>-2</v>
      </c>
      <c r="D5" s="44" t="n">
        <v>-1</v>
      </c>
      <c r="E5" s="44" t="n">
        <v>0</v>
      </c>
      <c r="F5" s="44" t="n">
        <v>1</v>
      </c>
      <c r="G5" s="44" t="n">
        <v>2</v>
      </c>
      <c r="H5" s="44" t="n">
        <v>3</v>
      </c>
      <c r="I5" s="44" t="n">
        <v>4</v>
      </c>
      <c r="J5" s="44" t="n">
        <v>5</v>
      </c>
      <c r="K5" s="44" t="n">
        <v>6</v>
      </c>
      <c r="L5" s="44" t="n">
        <v>7</v>
      </c>
      <c r="M5" s="44" t="n">
        <v>8</v>
      </c>
      <c r="N5" s="44" t="n">
        <v>9</v>
      </c>
      <c r="O5" s="44" t="n">
        <v>10</v>
      </c>
      <c r="P5" s="3"/>
    </row>
    <row r="6" customFormat="false" ht="15" hidden="false" customHeight="false" outlineLevel="0" collapsed="false">
      <c r="A6" s="3"/>
      <c r="B6" s="4" t="s">
        <v>399</v>
      </c>
      <c r="C6" s="39" t="n">
        <f aca="false">IF(C$5&gt;=1,Premissas!$B$29*IF(C$5=1,Premissas!$B$37,1),0)</f>
        <v>0</v>
      </c>
      <c r="D6" s="39" t="n">
        <f aca="false">IF(D$5&gt;=1,Premissas!$B$29*IF(D$5=1,Premissas!$B$37,1),0)</f>
        <v>0</v>
      </c>
      <c r="E6" s="39" t="n">
        <f aca="false">IF(E$5&gt;=1,Premissas!$B$29*IF(E$5=1,Premissas!$B$37,1),0)</f>
        <v>0</v>
      </c>
      <c r="F6" s="39" t="n">
        <f aca="false">IF(F$5&gt;=1,Premissas!$B$29*IF(F$5=1,Premissas!$B$37,1),0)</f>
        <v>15</v>
      </c>
      <c r="G6" s="39" t="n">
        <f aca="false">IF(G$5&gt;=1,Premissas!$B$29*IF(G$5=1,Premissas!$B$37,1),0)</f>
        <v>20</v>
      </c>
      <c r="H6" s="39" t="n">
        <f aca="false">IF(H$5&gt;=1,Premissas!$B$29*IF(H$5=1,Premissas!$B$37,1),0)</f>
        <v>20</v>
      </c>
      <c r="I6" s="39" t="n">
        <f aca="false">IF(I$5&gt;=1,Premissas!$B$29*IF(I$5=1,Premissas!$B$37,1),0)</f>
        <v>20</v>
      </c>
      <c r="J6" s="39" t="n">
        <f aca="false">IF(J$5&gt;=1,Premissas!$B$29*IF(J$5=1,Premissas!$B$37,1),0)</f>
        <v>20</v>
      </c>
      <c r="K6" s="39" t="n">
        <f aca="false">IF(K$5&gt;=1,Premissas!$B$29*IF(K$5=1,Premissas!$B$37,1),0)</f>
        <v>20</v>
      </c>
      <c r="L6" s="39" t="n">
        <f aca="false">IF(L$5&gt;=1,Premissas!$B$29*IF(L$5=1,Premissas!$B$37,1),0)</f>
        <v>20</v>
      </c>
      <c r="M6" s="39" t="n">
        <f aca="false">IF(M$5&gt;=1,Premissas!$B$29*IF(M$5=1,Premissas!$B$37,1),0)</f>
        <v>20</v>
      </c>
      <c r="N6" s="39" t="n">
        <f aca="false">IF(N$5&gt;=1,Premissas!$B$29*IF(N$5=1,Premissas!$B$37,1),0)</f>
        <v>20</v>
      </c>
      <c r="O6" s="39" t="n">
        <f aca="false">IF(O$5&gt;=1,Premissas!$B$29*IF(O$5=1,Premissas!$B$37,1),0)</f>
        <v>20</v>
      </c>
      <c r="P6" s="3"/>
    </row>
    <row r="7" customFormat="false" ht="15" hidden="false" customHeight="false" outlineLevel="0" collapsed="false">
      <c r="A7" s="3"/>
      <c r="B7" s="4" t="s">
        <v>400</v>
      </c>
      <c r="C7" s="39" t="n">
        <f aca="false">MIN(C6,Premissas!$B$30)</f>
        <v>0</v>
      </c>
      <c r="D7" s="39" t="n">
        <f aca="false">MIN(D6,Premissas!$B$30)</f>
        <v>0</v>
      </c>
      <c r="E7" s="39" t="n">
        <f aca="false">MIN(E6,Premissas!$B$30)</f>
        <v>0</v>
      </c>
      <c r="F7" s="39" t="n">
        <f aca="false">MIN(F6,Premissas!$B$30)</f>
        <v>6</v>
      </c>
      <c r="G7" s="39" t="n">
        <f aca="false">MIN(G6,Premissas!$B$30)</f>
        <v>6</v>
      </c>
      <c r="H7" s="39" t="n">
        <f aca="false">MIN(H6,Premissas!$B$30)</f>
        <v>6</v>
      </c>
      <c r="I7" s="39" t="n">
        <f aca="false">MIN(I6,Premissas!$B$30)</f>
        <v>6</v>
      </c>
      <c r="J7" s="39" t="n">
        <f aca="false">MIN(J6,Premissas!$B$30)</f>
        <v>6</v>
      </c>
      <c r="K7" s="39" t="n">
        <f aca="false">MIN(K6,Premissas!$B$30)</f>
        <v>6</v>
      </c>
      <c r="L7" s="39" t="n">
        <f aca="false">MIN(L6,Premissas!$B$30)</f>
        <v>6</v>
      </c>
      <c r="M7" s="39" t="n">
        <f aca="false">MIN(M6,Premissas!$B$30)</f>
        <v>6</v>
      </c>
      <c r="N7" s="39" t="n">
        <f aca="false">MIN(N6,Premissas!$B$30)</f>
        <v>6</v>
      </c>
      <c r="O7" s="39" t="n">
        <f aca="false">MIN(O6,Premissas!$B$30)</f>
        <v>6</v>
      </c>
      <c r="P7" s="3"/>
    </row>
    <row r="8" customFormat="false" ht="15" hidden="false" customHeight="false" outlineLevel="0" collapsed="false">
      <c r="A8" s="3"/>
      <c r="B8" s="4" t="s">
        <v>401</v>
      </c>
      <c r="C8" s="39" t="n">
        <f aca="false">MIN(C6-C7,Premissas!$B$31)</f>
        <v>0</v>
      </c>
      <c r="D8" s="39" t="n">
        <f aca="false">MIN(D6-D7,Premissas!$B$31)</f>
        <v>0</v>
      </c>
      <c r="E8" s="39" t="n">
        <f aca="false">MIN(E6-E7,Premissas!$B$31)</f>
        <v>0</v>
      </c>
      <c r="F8" s="39" t="n">
        <f aca="false">MIN(F6-F7,Premissas!$B$31)</f>
        <v>4</v>
      </c>
      <c r="G8" s="39" t="n">
        <f aca="false">MIN(G6-G7,Premissas!$B$31)</f>
        <v>4</v>
      </c>
      <c r="H8" s="39" t="n">
        <f aca="false">MIN(H6-H7,Premissas!$B$31)</f>
        <v>4</v>
      </c>
      <c r="I8" s="39" t="n">
        <f aca="false">MIN(I6-I7,Premissas!$B$31)</f>
        <v>4</v>
      </c>
      <c r="J8" s="39" t="n">
        <f aca="false">MIN(J6-J7,Premissas!$B$31)</f>
        <v>4</v>
      </c>
      <c r="K8" s="39" t="n">
        <f aca="false">MIN(K6-K7,Premissas!$B$31)</f>
        <v>4</v>
      </c>
      <c r="L8" s="39" t="n">
        <f aca="false">MIN(L6-L7,Premissas!$B$31)</f>
        <v>4</v>
      </c>
      <c r="M8" s="39" t="n">
        <f aca="false">MIN(M6-M7,Premissas!$B$31)</f>
        <v>4</v>
      </c>
      <c r="N8" s="39" t="n">
        <f aca="false">MIN(N6-N7,Premissas!$B$31)</f>
        <v>4</v>
      </c>
      <c r="O8" s="39" t="n">
        <f aca="false">MIN(O6-O7,Premissas!$B$31)</f>
        <v>4</v>
      </c>
      <c r="P8" s="3"/>
    </row>
    <row r="9" customFormat="false" ht="15" hidden="false" customHeight="false" outlineLevel="0" collapsed="false">
      <c r="A9" s="3"/>
      <c r="B9" s="4" t="s">
        <v>402</v>
      </c>
      <c r="C9" s="39" t="n">
        <f aca="false">C6-C7-C8</f>
        <v>0</v>
      </c>
      <c r="D9" s="39" t="n">
        <f aca="false">D6-D7-D8</f>
        <v>0</v>
      </c>
      <c r="E9" s="39" t="n">
        <f aca="false">E6-E7-E8</f>
        <v>0</v>
      </c>
      <c r="F9" s="39" t="n">
        <f aca="false">F6-F7-F8</f>
        <v>5</v>
      </c>
      <c r="G9" s="39" t="n">
        <f aca="false">G6-G7-G8</f>
        <v>10</v>
      </c>
      <c r="H9" s="39" t="n">
        <f aca="false">H6-H7-H8</f>
        <v>10</v>
      </c>
      <c r="I9" s="39" t="n">
        <f aca="false">I6-I7-I8</f>
        <v>10</v>
      </c>
      <c r="J9" s="39" t="n">
        <f aca="false">J6-J7-J8</f>
        <v>10</v>
      </c>
      <c r="K9" s="39" t="n">
        <f aca="false">K6-K7-K8</f>
        <v>10</v>
      </c>
      <c r="L9" s="39" t="n">
        <f aca="false">L6-L7-L8</f>
        <v>10</v>
      </c>
      <c r="M9" s="39" t="n">
        <f aca="false">M6-M7-M8</f>
        <v>10</v>
      </c>
      <c r="N9" s="39" t="n">
        <f aca="false">N6-N7-N8</f>
        <v>10</v>
      </c>
      <c r="O9" s="39" t="n">
        <f aca="false">O6-O7-O8</f>
        <v>10</v>
      </c>
      <c r="P9" s="3"/>
    </row>
    <row r="10" customFormat="false" ht="15" hidden="false" customHeight="false" outlineLevel="0" collapsed="false">
      <c r="A10" s="3"/>
      <c r="B10" s="4" t="s">
        <v>403</v>
      </c>
      <c r="C10" s="45" t="n">
        <f aca="false">IF(C$5&gt;=1,(1+Premissas!$B$8)^(C$5-1),0)</f>
        <v>0</v>
      </c>
      <c r="D10" s="45" t="n">
        <f aca="false">IF(D$5&gt;=1,(1+Premissas!$B$8)^(D$5-1),0)</f>
        <v>0</v>
      </c>
      <c r="E10" s="45" t="n">
        <f aca="false">IF(E$5&gt;=1,(1+Premissas!$B$8)^(E$5-1),0)</f>
        <v>0</v>
      </c>
      <c r="F10" s="45" t="n">
        <f aca="false">IF(F$5&gt;=1,(1+Premissas!$B$8)^(F$5-1),0)</f>
        <v>1</v>
      </c>
      <c r="G10" s="45" t="n">
        <f aca="false">IF(G$5&gt;=1,(1+Premissas!$B$8)^(G$5-1),0)</f>
        <v>1.025</v>
      </c>
      <c r="H10" s="45" t="n">
        <f aca="false">IF(H$5&gt;=1,(1+Premissas!$B$8)^(H$5-1),0)</f>
        <v>1.050625</v>
      </c>
      <c r="I10" s="45" t="n">
        <f aca="false">IF(I$5&gt;=1,(1+Premissas!$B$8)^(I$5-1),0)</f>
        <v>1.076890625</v>
      </c>
      <c r="J10" s="45" t="n">
        <f aca="false">IF(J$5&gt;=1,(1+Premissas!$B$8)^(J$5-1),0)</f>
        <v>1.103812890625</v>
      </c>
      <c r="K10" s="45" t="n">
        <f aca="false">IF(K$5&gt;=1,(1+Premissas!$B$8)^(K$5-1),0)</f>
        <v>1.13140821289062</v>
      </c>
      <c r="L10" s="45" t="n">
        <f aca="false">IF(L$5&gt;=1,(1+Premissas!$B$8)^(L$5-1),0)</f>
        <v>1.15969341821289</v>
      </c>
      <c r="M10" s="45" t="n">
        <f aca="false">IF(M$5&gt;=1,(1+Premissas!$B$8)^(M$5-1),0)</f>
        <v>1.18868575366821</v>
      </c>
      <c r="N10" s="45" t="n">
        <f aca="false">IF(N$5&gt;=1,(1+Premissas!$B$8)^(N$5-1),0)</f>
        <v>1.21840289750992</v>
      </c>
      <c r="O10" s="45" t="n">
        <f aca="false">IF(O$5&gt;=1,(1+Premissas!$B$8)^(O$5-1),0)</f>
        <v>1.24886296994767</v>
      </c>
      <c r="P10" s="3"/>
    </row>
    <row r="11" customFormat="false" ht="15" hidden="false" customHeight="false" outlineLevel="0" collapsed="false">
      <c r="A11" s="3"/>
      <c r="B11" s="4" t="s">
        <v>404</v>
      </c>
      <c r="C11" s="45" t="n">
        <f aca="false">IF(C$5&gt;=1,(1+Premissas!$B$9)^(C$5-1),0)</f>
        <v>0</v>
      </c>
      <c r="D11" s="45" t="n">
        <f aca="false">IF(D$5&gt;=1,(1+Premissas!$B$9)^(D$5-1),0)</f>
        <v>0</v>
      </c>
      <c r="E11" s="45" t="n">
        <f aca="false">IF(E$5&gt;=1,(1+Premissas!$B$9)^(E$5-1),0)</f>
        <v>0</v>
      </c>
      <c r="F11" s="45" t="n">
        <f aca="false">IF(F$5&gt;=1,(1+Premissas!$B$9)^(F$5-1),0)</f>
        <v>1</v>
      </c>
      <c r="G11" s="45" t="n">
        <f aca="false">IF(G$5&gt;=1,(1+Premissas!$B$9)^(G$5-1),0)</f>
        <v>1.03</v>
      </c>
      <c r="H11" s="45" t="n">
        <f aca="false">IF(H$5&gt;=1,(1+Premissas!$B$9)^(H$5-1),0)</f>
        <v>1.0609</v>
      </c>
      <c r="I11" s="45" t="n">
        <f aca="false">IF(I$5&gt;=1,(1+Premissas!$B$9)^(I$5-1),0)</f>
        <v>1.092727</v>
      </c>
      <c r="J11" s="45" t="n">
        <f aca="false">IF(J$5&gt;=1,(1+Premissas!$B$9)^(J$5-1),0)</f>
        <v>1.12550881</v>
      </c>
      <c r="K11" s="45" t="n">
        <f aca="false">IF(K$5&gt;=1,(1+Premissas!$B$9)^(K$5-1),0)</f>
        <v>1.1592740743</v>
      </c>
      <c r="L11" s="45" t="n">
        <f aca="false">IF(L$5&gt;=1,(1+Premissas!$B$9)^(L$5-1),0)</f>
        <v>1.194052296529</v>
      </c>
      <c r="M11" s="45" t="n">
        <f aca="false">IF(M$5&gt;=1,(1+Premissas!$B$9)^(M$5-1),0)</f>
        <v>1.22987386542487</v>
      </c>
      <c r="N11" s="45" t="n">
        <f aca="false">IF(N$5&gt;=1,(1+Premissas!$B$9)^(N$5-1),0)</f>
        <v>1.26677008138762</v>
      </c>
      <c r="O11" s="45" t="n">
        <f aca="false">IF(O$5&gt;=1,(1+Premissas!$B$9)^(O$5-1),0)</f>
        <v>1.30477318382925</v>
      </c>
      <c r="P11" s="3"/>
    </row>
    <row r="12" customFormat="false" ht="15" hidden="false" customHeight="false" outlineLevel="0" collapsed="false">
      <c r="A12" s="3"/>
      <c r="B12" s="4" t="s">
        <v>405</v>
      </c>
      <c r="C12" s="36" t="n">
        <f aca="false">C7*Premissas!$B$77*Premissas!$B$32*C10</f>
        <v>0</v>
      </c>
      <c r="D12" s="36" t="n">
        <f aca="false">D7*Premissas!$B$77*Premissas!$B$32*D10</f>
        <v>0</v>
      </c>
      <c r="E12" s="36" t="n">
        <f aca="false">E7*Premissas!$B$77*Premissas!$B$32*E10</f>
        <v>0</v>
      </c>
      <c r="F12" s="36" t="n">
        <f aca="false">F7*Premissas!$B$77*Premissas!$B$32*F10</f>
        <v>1620000</v>
      </c>
      <c r="G12" s="36" t="n">
        <f aca="false">G7*Premissas!$B$77*Premissas!$B$32*G10</f>
        <v>1660500</v>
      </c>
      <c r="H12" s="36" t="n">
        <f aca="false">H7*Premissas!$B$77*Premissas!$B$32*H10</f>
        <v>1702012.5</v>
      </c>
      <c r="I12" s="36" t="n">
        <f aca="false">I7*Premissas!$B$77*Premissas!$B$32*I10</f>
        <v>1744562.8125</v>
      </c>
      <c r="J12" s="36" t="n">
        <f aca="false">J7*Premissas!$B$77*Premissas!$B$32*J10</f>
        <v>1788176.8828125</v>
      </c>
      <c r="K12" s="36" t="n">
        <f aca="false">K7*Premissas!$B$77*Premissas!$B$32*K10</f>
        <v>1832881.30488281</v>
      </c>
      <c r="L12" s="36" t="n">
        <f aca="false">L7*Premissas!$B$77*Premissas!$B$32*L10</f>
        <v>1878703.33750488</v>
      </c>
      <c r="M12" s="36" t="n">
        <f aca="false">M7*Premissas!$B$77*Premissas!$B$32*M10</f>
        <v>1925670.9209425</v>
      </c>
      <c r="N12" s="36" t="n">
        <f aca="false">N7*Premissas!$B$77*Premissas!$B$32*N10</f>
        <v>1973812.69396607</v>
      </c>
      <c r="O12" s="36" t="n">
        <f aca="false">O7*Premissas!$B$77*Premissas!$B$32*O10</f>
        <v>2023158.01131522</v>
      </c>
      <c r="P12" s="3"/>
    </row>
    <row r="13" customFormat="false" ht="15" hidden="false" customHeight="false" outlineLevel="0" collapsed="false">
      <c r="A13" s="3"/>
      <c r="B13" s="4" t="s">
        <v>406</v>
      </c>
      <c r="C13" s="36" t="n">
        <f aca="false">C9*Premissas!$B$77*Premissas!$B$32*(1-Premissas!$B$12)*C10</f>
        <v>0</v>
      </c>
      <c r="D13" s="36" t="n">
        <f aca="false">D9*Premissas!$B$77*Premissas!$B$32*(1-Premissas!$B$12)*D10</f>
        <v>0</v>
      </c>
      <c r="E13" s="36" t="n">
        <f aca="false">E9*Premissas!$B$77*Premissas!$B$32*(1-Premissas!$B$12)*E10</f>
        <v>0</v>
      </c>
      <c r="F13" s="36" t="n">
        <f aca="false">F9*Premissas!$B$77*Premissas!$B$32*(1-Premissas!$B$12)*F10</f>
        <v>1147500</v>
      </c>
      <c r="G13" s="36" t="n">
        <f aca="false">G9*Premissas!$B$77*Premissas!$B$32*(1-Premissas!$B$12)*G10</f>
        <v>2352375</v>
      </c>
      <c r="H13" s="36" t="n">
        <f aca="false">H9*Premissas!$B$77*Premissas!$B$32*(1-Premissas!$B$12)*H10</f>
        <v>2411184.375</v>
      </c>
      <c r="I13" s="36" t="n">
        <f aca="false">I9*Premissas!$B$77*Premissas!$B$32*(1-Premissas!$B$12)*I10</f>
        <v>2471463.984375</v>
      </c>
      <c r="J13" s="36" t="n">
        <f aca="false">J9*Premissas!$B$77*Premissas!$B$32*(1-Premissas!$B$12)*J10</f>
        <v>2533250.58398437</v>
      </c>
      <c r="K13" s="36" t="n">
        <f aca="false">K9*Premissas!$B$77*Premissas!$B$32*(1-Premissas!$B$12)*K10</f>
        <v>2596581.84858398</v>
      </c>
      <c r="L13" s="36" t="n">
        <f aca="false">L9*Premissas!$B$77*Premissas!$B$32*(1-Premissas!$B$12)*L10</f>
        <v>2661496.39479858</v>
      </c>
      <c r="M13" s="36" t="n">
        <f aca="false">M9*Premissas!$B$77*Premissas!$B$32*(1-Premissas!$B$12)*M10</f>
        <v>2728033.80466855</v>
      </c>
      <c r="N13" s="36" t="n">
        <f aca="false">N9*Premissas!$B$77*Premissas!$B$32*(1-Premissas!$B$12)*N10</f>
        <v>2796234.64978526</v>
      </c>
      <c r="O13" s="36" t="n">
        <f aca="false">O9*Premissas!$B$77*Premissas!$B$32*(1-Premissas!$B$12)*O10</f>
        <v>2866140.51602989</v>
      </c>
      <c r="P13" s="3"/>
    </row>
    <row r="14" customFormat="false" ht="15" hidden="false" customHeight="false" outlineLevel="0" collapsed="false">
      <c r="A14" s="3"/>
      <c r="B14" s="4" t="s">
        <v>407</v>
      </c>
      <c r="C14" s="36" t="n">
        <f aca="false">C8*Premissas!$B$44*Premissas!$B$38*Premissas!$B$78*Premissas!$B$32*(1-Premissas!$B$12)*C10</f>
        <v>0</v>
      </c>
      <c r="D14" s="36" t="n">
        <f aca="false">D8*Premissas!$B$44*Premissas!$B$38*Premissas!$B$78*Premissas!$B$32*(1-Premissas!$B$12)*D10</f>
        <v>0</v>
      </c>
      <c r="E14" s="36" t="n">
        <f aca="false">E8*Premissas!$B$44*Premissas!$B$38*Premissas!$B$78*Premissas!$B$32*(1-Premissas!$B$12)*E10</f>
        <v>0</v>
      </c>
      <c r="F14" s="36" t="n">
        <f aca="false">F8*Premissas!$B$44*Premissas!$B$38*Premissas!$B$78*Premissas!$B$32*(1-Premissas!$B$12)*F10</f>
        <v>687398.4</v>
      </c>
      <c r="G14" s="36" t="n">
        <f aca="false">G8*Premissas!$B$44*Premissas!$B$38*Premissas!$B$78*Premissas!$B$32*(1-Premissas!$B$12)*G10</f>
        <v>704583.36</v>
      </c>
      <c r="H14" s="36" t="n">
        <f aca="false">H8*Premissas!$B$44*Premissas!$B$38*Premissas!$B$78*Premissas!$B$32*(1-Premissas!$B$12)*H10</f>
        <v>722197.944</v>
      </c>
      <c r="I14" s="36" t="n">
        <f aca="false">I8*Premissas!$B$44*Premissas!$B$38*Premissas!$B$78*Premissas!$B$32*(1-Premissas!$B$12)*I10</f>
        <v>740252.8926</v>
      </c>
      <c r="J14" s="36" t="n">
        <f aca="false">J8*Premissas!$B$44*Premissas!$B$38*Premissas!$B$78*Premissas!$B$32*(1-Premissas!$B$12)*J10</f>
        <v>758759.214915</v>
      </c>
      <c r="K14" s="36" t="n">
        <f aca="false">K8*Premissas!$B$44*Premissas!$B$38*Premissas!$B$78*Premissas!$B$32*(1-Premissas!$B$12)*K10</f>
        <v>777728.195287875</v>
      </c>
      <c r="L14" s="36" t="n">
        <f aca="false">L8*Premissas!$B$44*Premissas!$B$38*Premissas!$B$78*Premissas!$B$32*(1-Premissas!$B$12)*L10</f>
        <v>797171.400170071</v>
      </c>
      <c r="M14" s="36" t="n">
        <f aca="false">M8*Premissas!$B$44*Premissas!$B$38*Premissas!$B$78*Premissas!$B$32*(1-Premissas!$B$12)*M10</f>
        <v>817100.685174323</v>
      </c>
      <c r="N14" s="36" t="n">
        <f aca="false">N8*Premissas!$B$44*Premissas!$B$38*Premissas!$B$78*Premissas!$B$32*(1-Premissas!$B$12)*N10</f>
        <v>837528.202303681</v>
      </c>
      <c r="O14" s="36" t="n">
        <f aca="false">O8*Premissas!$B$44*Premissas!$B$38*Premissas!$B$78*Premissas!$B$32*(1-Premissas!$B$12)*O10</f>
        <v>858466.407361273</v>
      </c>
      <c r="P14" s="3"/>
    </row>
    <row r="15" customFormat="false" ht="15" hidden="false" customHeight="false" outlineLevel="0" collapsed="false">
      <c r="A15" s="3"/>
      <c r="B15" s="4" t="s">
        <v>408</v>
      </c>
      <c r="C15" s="36" t="n">
        <f aca="false">C6*Premissas!$B$44*Premissas!$B$14*Premissas!$B$13*C10</f>
        <v>0</v>
      </c>
      <c r="D15" s="36" t="n">
        <f aca="false">D6*Premissas!$B$44*Premissas!$B$14*Premissas!$B$13*D10</f>
        <v>0</v>
      </c>
      <c r="E15" s="36" t="n">
        <f aca="false">E6*Premissas!$B$44*Premissas!$B$14*Premissas!$B$13*E10</f>
        <v>0</v>
      </c>
      <c r="F15" s="36" t="n">
        <f aca="false">F6*Premissas!$B$44*Premissas!$B$14*Premissas!$B$13*F10</f>
        <v>145800</v>
      </c>
      <c r="G15" s="36" t="n">
        <f aca="false">G6*Premissas!$B$44*Premissas!$B$14*Premissas!$B$13*G10</f>
        <v>199260</v>
      </c>
      <c r="H15" s="36" t="n">
        <f aca="false">H6*Premissas!$B$44*Premissas!$B$14*Premissas!$B$13*H10</f>
        <v>204241.5</v>
      </c>
      <c r="I15" s="36" t="n">
        <f aca="false">I6*Premissas!$B$44*Premissas!$B$14*Premissas!$B$13*I10</f>
        <v>209347.5375</v>
      </c>
      <c r="J15" s="36" t="n">
        <f aca="false">J6*Premissas!$B$44*Premissas!$B$14*Premissas!$B$13*J10</f>
        <v>214581.2259375</v>
      </c>
      <c r="K15" s="36" t="n">
        <f aca="false">K6*Premissas!$B$44*Premissas!$B$14*Premissas!$B$13*K10</f>
        <v>219945.756585937</v>
      </c>
      <c r="L15" s="36" t="n">
        <f aca="false">L6*Premissas!$B$44*Premissas!$B$14*Premissas!$B$13*L10</f>
        <v>225444.400500586</v>
      </c>
      <c r="M15" s="36" t="n">
        <f aca="false">M6*Premissas!$B$44*Premissas!$B$14*Premissas!$B$13*M10</f>
        <v>231080.5105131</v>
      </c>
      <c r="N15" s="36" t="n">
        <f aca="false">N6*Premissas!$B$44*Premissas!$B$14*Premissas!$B$13*N10</f>
        <v>236857.523275928</v>
      </c>
      <c r="O15" s="36" t="n">
        <f aca="false">O6*Premissas!$B$44*Premissas!$B$14*Premissas!$B$13*O10</f>
        <v>242778.961357826</v>
      </c>
      <c r="P15" s="3"/>
    </row>
    <row r="16" customFormat="false" ht="15" hidden="false" customHeight="false" outlineLevel="0" collapsed="false">
      <c r="A16" s="3"/>
      <c r="B16" s="14" t="s">
        <v>409</v>
      </c>
      <c r="C16" s="33" t="n">
        <f aca="false">SUM(C12:C15)</f>
        <v>0</v>
      </c>
      <c r="D16" s="33" t="n">
        <f aca="false">SUM(D12:D15)</f>
        <v>0</v>
      </c>
      <c r="E16" s="33" t="n">
        <f aca="false">SUM(E12:E15)</f>
        <v>0</v>
      </c>
      <c r="F16" s="33" t="n">
        <f aca="false">SUM(F12:F15)</f>
        <v>3600698.4</v>
      </c>
      <c r="G16" s="33" t="n">
        <f aca="false">SUM(G12:G15)</f>
        <v>4916718.36</v>
      </c>
      <c r="H16" s="33" t="n">
        <f aca="false">SUM(H12:H15)</f>
        <v>5039636.319</v>
      </c>
      <c r="I16" s="33" t="n">
        <f aca="false">SUM(I12:I15)</f>
        <v>5165627.226975</v>
      </c>
      <c r="J16" s="33" t="n">
        <f aca="false">SUM(J12:J15)</f>
        <v>5294767.90764937</v>
      </c>
      <c r="K16" s="33" t="n">
        <f aca="false">SUM(K12:K15)</f>
        <v>5427137.10534061</v>
      </c>
      <c r="L16" s="33" t="n">
        <f aca="false">SUM(L12:L15)</f>
        <v>5562815.53297412</v>
      </c>
      <c r="M16" s="33" t="n">
        <f aca="false">SUM(M12:M15)</f>
        <v>5701885.92129848</v>
      </c>
      <c r="N16" s="33" t="n">
        <f aca="false">SUM(N12:N15)</f>
        <v>5844433.06933094</v>
      </c>
      <c r="O16" s="33" t="n">
        <f aca="false">SUM(O12:O15)</f>
        <v>5990543.89606421</v>
      </c>
      <c r="P16" s="3"/>
    </row>
    <row r="17" customFormat="false" ht="15" hidden="false" customHeight="false" outlineLevel="0" collapsed="false">
      <c r="A17" s="3"/>
      <c r="B17" s="4" t="s">
        <v>410</v>
      </c>
      <c r="C17" s="36" t="n">
        <f aca="false">-C6*(Premissas!$B$70*Premissas!$B$34/Premissas!$B$6+Premissas!$B$75)*Premissas!$B$33*C11</f>
        <v>-0</v>
      </c>
      <c r="D17" s="36" t="n">
        <f aca="false">-D6*(Premissas!$B$70*Premissas!$B$34/Premissas!$B$6+Premissas!$B$75)*Premissas!$B$33*D11</f>
        <v>-0</v>
      </c>
      <c r="E17" s="36" t="n">
        <f aca="false">-E6*(Premissas!$B$70*Premissas!$B$34/Premissas!$B$6+Premissas!$B$75)*Premissas!$B$33*E11</f>
        <v>-0</v>
      </c>
      <c r="F17" s="36" t="n">
        <f aca="false">-F6*(Premissas!$B$70*Premissas!$B$34/Premissas!$B$6+Premissas!$B$75)*Premissas!$B$33*F11</f>
        <v>-1055451.91304348</v>
      </c>
      <c r="G17" s="36" t="n">
        <f aca="false">-G6*(Premissas!$B$70*Premissas!$B$34/Premissas!$B$6+Premissas!$B$75)*Premissas!$B$33*G11</f>
        <v>-1449487.29391304</v>
      </c>
      <c r="H17" s="36" t="n">
        <f aca="false">-H6*(Premissas!$B$70*Premissas!$B$34/Premissas!$B$6+Premissas!$B$75)*Premissas!$B$33*H11</f>
        <v>-1492971.91273044</v>
      </c>
      <c r="I17" s="36" t="n">
        <f aca="false">-I6*(Premissas!$B$70*Premissas!$B$34/Premissas!$B$6+Premissas!$B$75)*Premissas!$B$33*I11</f>
        <v>-1537761.07011235</v>
      </c>
      <c r="J17" s="36" t="n">
        <f aca="false">-J6*(Premissas!$B$70*Premissas!$B$34/Premissas!$B$6+Premissas!$B$75)*Premissas!$B$33*J11</f>
        <v>-1583893.90221572</v>
      </c>
      <c r="K17" s="36" t="n">
        <f aca="false">-K6*(Premissas!$B$70*Premissas!$B$34/Premissas!$B$6+Premissas!$B$75)*Premissas!$B$33*K11</f>
        <v>-1631410.71928219</v>
      </c>
      <c r="L17" s="36" t="n">
        <f aca="false">-L6*(Premissas!$B$70*Premissas!$B$34/Premissas!$B$6+Premissas!$B$75)*Premissas!$B$33*L11</f>
        <v>-1680353.04086066</v>
      </c>
      <c r="M17" s="36" t="n">
        <f aca="false">-M6*(Premissas!$B$70*Premissas!$B$34/Premissas!$B$6+Premissas!$B$75)*Premissas!$B$33*M11</f>
        <v>-1730763.63208648</v>
      </c>
      <c r="N17" s="36" t="n">
        <f aca="false">-N6*(Premissas!$B$70*Premissas!$B$34/Premissas!$B$6+Premissas!$B$75)*Premissas!$B$33*N11</f>
        <v>-1782686.54104907</v>
      </c>
      <c r="O17" s="36" t="n">
        <f aca="false">-O6*(Premissas!$B$70*Premissas!$B$34/Premissas!$B$6+Premissas!$B$75)*Premissas!$B$33*O11</f>
        <v>-1836167.13728054</v>
      </c>
      <c r="P17" s="3"/>
    </row>
    <row r="18" customFormat="false" ht="15" hidden="false" customHeight="false" outlineLevel="0" collapsed="false">
      <c r="A18" s="3"/>
      <c r="B18" s="4" t="s">
        <v>411</v>
      </c>
      <c r="C18" s="36" t="n">
        <f aca="false">-IF(C$5&gt;=1,Premissas!$B$68*Premissas!$B$33*C11,0)</f>
        <v>-0</v>
      </c>
      <c r="D18" s="36" t="n">
        <f aca="false">-IF(D$5&gt;=1,Premissas!$B$68*Premissas!$B$33*D11,0)</f>
        <v>-0</v>
      </c>
      <c r="E18" s="36" t="n">
        <f aca="false">-IF(E$5&gt;=1,Premissas!$B$68*Premissas!$B$33*E11,0)</f>
        <v>-0</v>
      </c>
      <c r="F18" s="36" t="n">
        <f aca="false">-IF(F$5&gt;=1,Premissas!$B$68*Premissas!$B$33*F11,0)</f>
        <v>-3733589.2</v>
      </c>
      <c r="G18" s="36" t="n">
        <f aca="false">-IF(G$5&gt;=1,Premissas!$B$68*Premissas!$B$33*G11,0)</f>
        <v>-3845596.876</v>
      </c>
      <c r="H18" s="36" t="n">
        <f aca="false">-IF(H$5&gt;=1,Premissas!$B$68*Premissas!$B$33*H11,0)</f>
        <v>-3960964.78228</v>
      </c>
      <c r="I18" s="36" t="n">
        <f aca="false">-IF(I$5&gt;=1,Premissas!$B$68*Premissas!$B$33*I11,0)</f>
        <v>-4079793.7257484</v>
      </c>
      <c r="J18" s="36" t="n">
        <f aca="false">-IF(J$5&gt;=1,Premissas!$B$68*Premissas!$B$33*J11,0)</f>
        <v>-4202187.53752085</v>
      </c>
      <c r="K18" s="36" t="n">
        <f aca="false">-IF(K$5&gt;=1,Premissas!$B$68*Premissas!$B$33*K11,0)</f>
        <v>-4328253.16364648</v>
      </c>
      <c r="L18" s="36" t="n">
        <f aca="false">-IF(L$5&gt;=1,Premissas!$B$68*Premissas!$B$33*L11,0)</f>
        <v>-4458100.75855587</v>
      </c>
      <c r="M18" s="36" t="n">
        <f aca="false">-IF(M$5&gt;=1,Premissas!$B$68*Premissas!$B$33*M11,0)</f>
        <v>-4591843.78131255</v>
      </c>
      <c r="N18" s="36" t="n">
        <f aca="false">-IF(N$5&gt;=1,Premissas!$B$68*Premissas!$B$33*N11,0)</f>
        <v>-4729599.09475193</v>
      </c>
      <c r="O18" s="36" t="n">
        <f aca="false">-IF(O$5&gt;=1,Premissas!$B$68*Premissas!$B$33*O11,0)</f>
        <v>-4871487.06759448</v>
      </c>
      <c r="P18" s="3"/>
    </row>
    <row r="19" customFormat="false" ht="15" hidden="false" customHeight="false" outlineLevel="0" collapsed="false">
      <c r="A19" s="3"/>
      <c r="B19" s="14" t="s">
        <v>412</v>
      </c>
      <c r="C19" s="33" t="n">
        <f aca="false">C16+C17+C18</f>
        <v>0</v>
      </c>
      <c r="D19" s="33" t="n">
        <f aca="false">D16+D17+D18</f>
        <v>0</v>
      </c>
      <c r="E19" s="33" t="n">
        <f aca="false">E16+E17+E18</f>
        <v>0</v>
      </c>
      <c r="F19" s="33" t="n">
        <f aca="false">F16+F17+F18</f>
        <v>-1188342.71304348</v>
      </c>
      <c r="G19" s="33" t="n">
        <f aca="false">G16+G17+G18</f>
        <v>-378365.809913044</v>
      </c>
      <c r="H19" s="33" t="n">
        <f aca="false">H16+H17+H18</f>
        <v>-414300.376010435</v>
      </c>
      <c r="I19" s="33" t="n">
        <f aca="false">I16+I17+I18</f>
        <v>-451927.56888575</v>
      </c>
      <c r="J19" s="33" t="n">
        <f aca="false">J16+J17+J18</f>
        <v>-491313.532087198</v>
      </c>
      <c r="K19" s="33" t="n">
        <f aca="false">K16+K17+K18</f>
        <v>-532526.777588062</v>
      </c>
      <c r="L19" s="33" t="n">
        <f aca="false">L16+L17+L18</f>
        <v>-575638.266442406</v>
      </c>
      <c r="M19" s="33" t="n">
        <f aca="false">M16+M17+M18</f>
        <v>-620721.49210055</v>
      </c>
      <c r="N19" s="33" t="n">
        <f aca="false">N16+N17+N18</f>
        <v>-667852.566470061</v>
      </c>
      <c r="O19" s="33" t="n">
        <f aca="false">O16+O17+O18</f>
        <v>-717110.308810817</v>
      </c>
      <c r="P19" s="3"/>
    </row>
    <row r="20" customFormat="false" ht="15" hidden="false" customHeight="false" outlineLevel="0" collapsed="false">
      <c r="A20" s="3"/>
      <c r="B20" s="4" t="s">
        <v>413</v>
      </c>
      <c r="C20" s="42" t="n">
        <f aca="false">IF(C16=0,0,C19/C16)</f>
        <v>0</v>
      </c>
      <c r="D20" s="42" t="n">
        <f aca="false">IF(D16=0,0,D19/D16)</f>
        <v>0</v>
      </c>
      <c r="E20" s="42" t="n">
        <f aca="false">IF(E16=0,0,E19/E16)</f>
        <v>0</v>
      </c>
      <c r="F20" s="42" t="n">
        <f aca="false">IF(F16=0,0,F19/F16)</f>
        <v>-0.330031172020261</v>
      </c>
      <c r="G20" s="42" t="n">
        <f aca="false">IF(G16=0,0,G19/G16)</f>
        <v>-0.0769549488519095</v>
      </c>
      <c r="H20" s="42" t="n">
        <f aca="false">IF(H16=0,0,H19/H16)</f>
        <v>-0.0822083876267967</v>
      </c>
      <c r="I20" s="42" t="n">
        <f aca="false">IF(I16=0,0,I19/I16)</f>
        <v>-0.0874874529322937</v>
      </c>
      <c r="J20" s="42" t="n">
        <f aca="false">IF(J16=0,0,J19/J16)</f>
        <v>-0.0927922697758661</v>
      </c>
      <c r="K20" s="42" t="n">
        <f aca="false">IF(K16=0,0,K19/K16)</f>
        <v>-0.0981229637747729</v>
      </c>
      <c r="L20" s="42" t="n">
        <f aca="false">IF(L16=0,0,L19/L16)</f>
        <v>-0.10347966115904</v>
      </c>
      <c r="M20" s="42" t="n">
        <f aca="false">IF(M16=0,0,M19/M16)</f>
        <v>-0.10886248877445</v>
      </c>
      <c r="N20" s="42" t="n">
        <f aca="false">IF(N16=0,0,N19/N16)</f>
        <v>-0.114271574085545</v>
      </c>
      <c r="O20" s="42" t="n">
        <f aca="false">IF(O16=0,0,O19/O16)</f>
        <v>-0.119707045178645</v>
      </c>
      <c r="P20" s="3"/>
    </row>
    <row r="21" customFormat="false" ht="15" hidden="false" customHeight="false" outlineLevel="0" collapsed="false">
      <c r="A21" s="3"/>
      <c r="B21" s="4" t="s">
        <v>414</v>
      </c>
      <c r="C21" s="36" t="n">
        <f aca="false">-IF(C$5&gt;=1,Premissas!$B$52*(1-Premissas!$B$35)/10,0)</f>
        <v>-0</v>
      </c>
      <c r="D21" s="36" t="n">
        <f aca="false">-IF(D$5&gt;=1,Premissas!$B$52*(1-Premissas!$B$35)/10,0)</f>
        <v>-0</v>
      </c>
      <c r="E21" s="36" t="n">
        <f aca="false">-IF(E$5&gt;=1,Premissas!$B$52*(1-Premissas!$B$35)/10,0)</f>
        <v>-0</v>
      </c>
      <c r="F21" s="36" t="n">
        <f aca="false">-IF(F$5&gt;=1,Premissas!$B$52*(1-Premissas!$B$35)/10,0)</f>
        <v>-2623995</v>
      </c>
      <c r="G21" s="36" t="n">
        <f aca="false">-IF(G$5&gt;=1,Premissas!$B$52*(1-Premissas!$B$35)/10,0)</f>
        <v>-2623995</v>
      </c>
      <c r="H21" s="36" t="n">
        <f aca="false">-IF(H$5&gt;=1,Premissas!$B$52*(1-Premissas!$B$35)/10,0)</f>
        <v>-2623995</v>
      </c>
      <c r="I21" s="36" t="n">
        <f aca="false">-IF(I$5&gt;=1,Premissas!$B$52*(1-Premissas!$B$35)/10,0)</f>
        <v>-2623995</v>
      </c>
      <c r="J21" s="36" t="n">
        <f aca="false">-IF(J$5&gt;=1,Premissas!$B$52*(1-Premissas!$B$35)/10,0)</f>
        <v>-2623995</v>
      </c>
      <c r="K21" s="36" t="n">
        <f aca="false">-IF(K$5&gt;=1,Premissas!$B$52*(1-Premissas!$B$35)/10,0)</f>
        <v>-2623995</v>
      </c>
      <c r="L21" s="36" t="n">
        <f aca="false">-IF(L$5&gt;=1,Premissas!$B$52*(1-Premissas!$B$35)/10,0)</f>
        <v>-2623995</v>
      </c>
      <c r="M21" s="36" t="n">
        <f aca="false">-IF(M$5&gt;=1,Premissas!$B$52*(1-Premissas!$B$35)/10,0)</f>
        <v>-2623995</v>
      </c>
      <c r="N21" s="36" t="n">
        <f aca="false">-IF(N$5&gt;=1,Premissas!$B$52*(1-Premissas!$B$35)/10,0)</f>
        <v>-2623995</v>
      </c>
      <c r="O21" s="36" t="n">
        <f aca="false">-IF(O$5&gt;=1,Premissas!$B$52*(1-Premissas!$B$35)/10,0)</f>
        <v>-2623995</v>
      </c>
      <c r="P21" s="3"/>
    </row>
    <row r="22" customFormat="false" ht="15" hidden="false" customHeight="false" outlineLevel="0" collapsed="false">
      <c r="A22" s="3"/>
      <c r="B22" s="14" t="s">
        <v>415</v>
      </c>
      <c r="C22" s="40" t="n">
        <f aca="false">C19+C21</f>
        <v>0</v>
      </c>
      <c r="D22" s="40" t="n">
        <f aca="false">D19+D21</f>
        <v>0</v>
      </c>
      <c r="E22" s="40" t="n">
        <f aca="false">E19+E21</f>
        <v>0</v>
      </c>
      <c r="F22" s="40" t="n">
        <f aca="false">F19+F21</f>
        <v>-3812337.71304348</v>
      </c>
      <c r="G22" s="40" t="n">
        <f aca="false">G19+G21</f>
        <v>-3002360.80991305</v>
      </c>
      <c r="H22" s="40" t="n">
        <f aca="false">H19+H21</f>
        <v>-3038295.37601044</v>
      </c>
      <c r="I22" s="40" t="n">
        <f aca="false">I19+I21</f>
        <v>-3075922.56888575</v>
      </c>
      <c r="J22" s="40" t="n">
        <f aca="false">J19+J21</f>
        <v>-3115308.5320872</v>
      </c>
      <c r="K22" s="40" t="n">
        <f aca="false">K19+K21</f>
        <v>-3156521.77758806</v>
      </c>
      <c r="L22" s="40" t="n">
        <f aca="false">L19+L21</f>
        <v>-3199633.26644241</v>
      </c>
      <c r="M22" s="40" t="n">
        <f aca="false">M19+M21</f>
        <v>-3244716.49210055</v>
      </c>
      <c r="N22" s="40" t="n">
        <f aca="false">N19+N21</f>
        <v>-3291847.56647006</v>
      </c>
      <c r="O22" s="40" t="n">
        <f aca="false">O19+O21</f>
        <v>-3341105.30881082</v>
      </c>
      <c r="P22" s="3"/>
    </row>
    <row r="23" customFormat="false" ht="15" hidden="false" customHeight="false" outlineLevel="0" collapsed="false">
      <c r="A23" s="3"/>
      <c r="B23" s="4" t="s">
        <v>416</v>
      </c>
      <c r="C23" s="36" t="n">
        <f aca="false">-MAX(0,C22)*Premissas!$B$11</f>
        <v>-0</v>
      </c>
      <c r="D23" s="36" t="n">
        <f aca="false">-MAX(0,D22)*Premissas!$B$11</f>
        <v>-0</v>
      </c>
      <c r="E23" s="36" t="n">
        <f aca="false">-MAX(0,E22)*Premissas!$B$11</f>
        <v>-0</v>
      </c>
      <c r="F23" s="36" t="n">
        <f aca="false">-MAX(0,F22)*Premissas!$B$11</f>
        <v>-0</v>
      </c>
      <c r="G23" s="36" t="n">
        <f aca="false">-MAX(0,G22)*Premissas!$B$11</f>
        <v>-0</v>
      </c>
      <c r="H23" s="36" t="n">
        <f aca="false">-MAX(0,H22)*Premissas!$B$11</f>
        <v>-0</v>
      </c>
      <c r="I23" s="36" t="n">
        <f aca="false">-MAX(0,I22)*Premissas!$B$11</f>
        <v>-0</v>
      </c>
      <c r="J23" s="36" t="n">
        <f aca="false">-MAX(0,J22)*Premissas!$B$11</f>
        <v>-0</v>
      </c>
      <c r="K23" s="36" t="n">
        <f aca="false">-MAX(0,K22)*Premissas!$B$11</f>
        <v>-0</v>
      </c>
      <c r="L23" s="36" t="n">
        <f aca="false">-MAX(0,L22)*Premissas!$B$11</f>
        <v>-0</v>
      </c>
      <c r="M23" s="36" t="n">
        <f aca="false">-MAX(0,M22)*Premissas!$B$11</f>
        <v>-0</v>
      </c>
      <c r="N23" s="36" t="n">
        <f aca="false">-MAX(0,N22)*Premissas!$B$11</f>
        <v>-0</v>
      </c>
      <c r="O23" s="36" t="n">
        <f aca="false">-MAX(0,O22)*Premissas!$B$11</f>
        <v>-0</v>
      </c>
      <c r="P23" s="3"/>
    </row>
    <row r="24" customFormat="false" ht="15" hidden="false" customHeight="false" outlineLevel="0" collapsed="false">
      <c r="A24" s="3"/>
      <c r="B24" s="4" t="s">
        <v>417</v>
      </c>
      <c r="C24" s="36" t="n">
        <f aca="false">-(IF(C$5=3,Premissas!$B$80,0)+IF(C$5=5,Premissas!$B$81,0)+IF(C$5=8,Premissas!$B$82,0)+IF(C$5=10,Premissas!$B$83,0))*C11</f>
        <v>-0</v>
      </c>
      <c r="D24" s="36" t="n">
        <f aca="false">-(IF(D$5=3,Premissas!$B$80,0)+IF(D$5=5,Premissas!$B$81,0)+IF(D$5=8,Premissas!$B$82,0)+IF(D$5=10,Premissas!$B$83,0))*D11</f>
        <v>-0</v>
      </c>
      <c r="E24" s="36" t="n">
        <f aca="false">-(IF(E$5=3,Premissas!$B$80,0)+IF(E$5=5,Premissas!$B$81,0)+IF(E$5=8,Premissas!$B$82,0)+IF(E$5=10,Premissas!$B$83,0))*E11</f>
        <v>-0</v>
      </c>
      <c r="F24" s="36" t="n">
        <f aca="false">-(IF(F$5=3,Premissas!$B$80,0)+IF(F$5=5,Premissas!$B$81,0)+IF(F$5=8,Premissas!$B$82,0)+IF(F$5=10,Premissas!$B$83,0))*F11</f>
        <v>-0</v>
      </c>
      <c r="G24" s="36" t="n">
        <f aca="false">-(IF(G$5=3,Premissas!$B$80,0)+IF(G$5=5,Premissas!$B$81,0)+IF(G$5=8,Premissas!$B$82,0)+IF(G$5=10,Premissas!$B$83,0))*G11</f>
        <v>-0</v>
      </c>
      <c r="H24" s="36" t="n">
        <f aca="false">-(IF(H$5=3,Premissas!$B$80,0)+IF(H$5=5,Premissas!$B$81,0)+IF(H$5=8,Premissas!$B$82,0)+IF(H$5=10,Premissas!$B$83,0))*H11</f>
        <v>-371315</v>
      </c>
      <c r="I24" s="36" t="n">
        <f aca="false">-(IF(I$5=3,Premissas!$B$80,0)+IF(I$5=5,Premissas!$B$81,0)+IF(I$5=8,Premissas!$B$82,0)+IF(I$5=10,Premissas!$B$83,0))*I11</f>
        <v>-0</v>
      </c>
      <c r="J24" s="36" t="n">
        <f aca="false">-(IF(J$5=3,Premissas!$B$80,0)+IF(J$5=5,Premissas!$B$81,0)+IF(J$5=8,Premissas!$B$82,0)+IF(J$5=10,Premissas!$B$83,0))*J11</f>
        <v>-900407.048</v>
      </c>
      <c r="K24" s="36" t="n">
        <f aca="false">-(IF(K$5=3,Premissas!$B$80,0)+IF(K$5=5,Premissas!$B$81,0)+IF(K$5=8,Premissas!$B$82,0)+IF(K$5=10,Premissas!$B$83,0))*K11</f>
        <v>-0</v>
      </c>
      <c r="L24" s="36" t="n">
        <f aca="false">-(IF(L$5=3,Premissas!$B$80,0)+IF(L$5=5,Premissas!$B$81,0)+IF(L$5=8,Premissas!$B$82,0)+IF(L$5=10,Premissas!$B$83,0))*L11</f>
        <v>-0</v>
      </c>
      <c r="M24" s="36" t="n">
        <f aca="false">-(IF(M$5=3,Premissas!$B$80,0)+IF(M$5=5,Premissas!$B$81,0)+IF(M$5=8,Premissas!$B$82,0)+IF(M$5=10,Premissas!$B$83,0))*M11</f>
        <v>-491949.546169948</v>
      </c>
      <c r="N24" s="36" t="n">
        <f aca="false">-(IF(N$5=3,Premissas!$B$80,0)+IF(N$5=5,Premissas!$B$81,0)+IF(N$5=8,Premissas!$B$82,0)+IF(N$5=10,Premissas!$B$83,0))*N11</f>
        <v>-0</v>
      </c>
      <c r="O24" s="36" t="n">
        <f aca="false">-(IF(O$5=3,Premissas!$B$80,0)+IF(O$5=5,Premissas!$B$81,0)+IF(O$5=8,Premissas!$B$82,0)+IF(O$5=10,Premissas!$B$83,0))*O11</f>
        <v>-1304773.18382925</v>
      </c>
      <c r="P24" s="3"/>
    </row>
    <row r="25" customFormat="false" ht="15" hidden="false" customHeight="false" outlineLevel="0" collapsed="false">
      <c r="A25" s="3"/>
      <c r="B25" s="4" t="s">
        <v>418</v>
      </c>
      <c r="C25" s="36" t="n">
        <f aca="false">-IF(C$5&gt;=1,Premissas!$B$52*(Premissas!$B$84+IF(C$5=6,Premissas!$B$85,0))*C11,0)</f>
        <v>-0</v>
      </c>
      <c r="D25" s="36" t="n">
        <f aca="false">-IF(D$5&gt;=1,Premissas!$B$52*(Premissas!$B$84+IF(D$5=6,Premissas!$B$85,0))*D11,0)</f>
        <v>-0</v>
      </c>
      <c r="E25" s="36" t="n">
        <f aca="false">-IF(E$5&gt;=1,Premissas!$B$52*(Premissas!$B$84+IF(E$5=6,Premissas!$B$85,0))*E11,0)</f>
        <v>-0</v>
      </c>
      <c r="F25" s="36" t="n">
        <f aca="false">-IF(F$5&gt;=1,Premissas!$B$52*(Premissas!$B$84+IF(F$5=6,Premissas!$B$85,0))*F11,0)</f>
        <v>-238545</v>
      </c>
      <c r="G25" s="36" t="n">
        <f aca="false">-IF(G$5&gt;=1,Premissas!$B$52*(Premissas!$B$84+IF(G$5=6,Premissas!$B$85,0))*G11,0)</f>
        <v>-245701.35</v>
      </c>
      <c r="H25" s="36" t="n">
        <f aca="false">-IF(H$5&gt;=1,Premissas!$B$52*(Premissas!$B$84+IF(H$5=6,Premissas!$B$85,0))*H11,0)</f>
        <v>-253072.3905</v>
      </c>
      <c r="I25" s="36" t="n">
        <f aca="false">-IF(I$5&gt;=1,Premissas!$B$52*(Premissas!$B$84+IF(I$5=6,Premissas!$B$85,0))*I11,0)</f>
        <v>-260664.562215</v>
      </c>
      <c r="J25" s="36" t="n">
        <f aca="false">-IF(J$5&gt;=1,Premissas!$B$52*(Premissas!$B$84+IF(J$5=6,Premissas!$B$85,0))*J11,0)</f>
        <v>-268484.49908145</v>
      </c>
      <c r="K25" s="36" t="n">
        <f aca="false">-IF(K$5&gt;=1,Premissas!$B$52*(Premissas!$B$84+IF(K$5=6,Premissas!$B$85,0))*K11,0)</f>
        <v>-2488851.30648504</v>
      </c>
      <c r="L25" s="36" t="n">
        <f aca="false">-IF(L$5&gt;=1,Premissas!$B$52*(Premissas!$B$84+IF(L$5=6,Premissas!$B$85,0))*L11,0)</f>
        <v>-284835.20507551</v>
      </c>
      <c r="M25" s="36" t="n">
        <f aca="false">-IF(M$5&gt;=1,Premissas!$B$52*(Premissas!$B$84+IF(M$5=6,Premissas!$B$85,0))*M11,0)</f>
        <v>-293380.261227776</v>
      </c>
      <c r="N25" s="36" t="n">
        <f aca="false">-IF(N$5&gt;=1,Premissas!$B$52*(Premissas!$B$84+IF(N$5=6,Premissas!$B$85,0))*N11,0)</f>
        <v>-302181.669064609</v>
      </c>
      <c r="O25" s="36" t="n">
        <f aca="false">-IF(O$5&gt;=1,Premissas!$B$52*(Premissas!$B$84+IF(O$5=6,Premissas!$B$85,0))*O11,0)</f>
        <v>-311247.119136547</v>
      </c>
      <c r="P25" s="3"/>
    </row>
    <row r="26" customFormat="false" ht="15" hidden="false" customHeight="false" outlineLevel="0" collapsed="false">
      <c r="A26" s="3"/>
      <c r="B26" s="4" t="s">
        <v>419</v>
      </c>
      <c r="C26" s="36" t="n">
        <f aca="false">-Premissas!$B$52*Premissas!$B$53</f>
        <v>-9541800</v>
      </c>
      <c r="D26" s="36" t="n">
        <f aca="false">-Premissas!$B$52*Premissas!$B$54</f>
        <v>-9541800</v>
      </c>
      <c r="E26" s="36" t="n">
        <f aca="false">-Premissas!$B$52*Premissas!$B$55</f>
        <v>-28625400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6" t="n">
        <v>0</v>
      </c>
      <c r="O26" s="36" t="n">
        <v>0</v>
      </c>
      <c r="P26" s="3"/>
    </row>
    <row r="27" customFormat="false" ht="15" hidden="false" customHeight="false" outlineLevel="0" collapsed="false">
      <c r="A27" s="3"/>
      <c r="B27" s="4" t="s">
        <v>420</v>
      </c>
      <c r="C27" s="36" t="n">
        <f aca="false">IF(C$5=10,Premissas!$B$52*Premissas!$B$35,0)</f>
        <v>0</v>
      </c>
      <c r="D27" s="36" t="n">
        <f aca="false">IF(D$5=10,Premissas!$B$52*Premissas!$B$35,0)</f>
        <v>0</v>
      </c>
      <c r="E27" s="36" t="n">
        <f aca="false">IF(E$5=10,Premissas!$B$52*Premissas!$B$35,0)</f>
        <v>0</v>
      </c>
      <c r="F27" s="36" t="n">
        <f aca="false">IF(F$5=10,Premissas!$B$52*Premissas!$B$35,0)</f>
        <v>0</v>
      </c>
      <c r="G27" s="36" t="n">
        <f aca="false">IF(G$5=10,Premissas!$B$52*Premissas!$B$35,0)</f>
        <v>0</v>
      </c>
      <c r="H27" s="36" t="n">
        <f aca="false">IF(H$5=10,Premissas!$B$52*Premissas!$B$35,0)</f>
        <v>0</v>
      </c>
      <c r="I27" s="36" t="n">
        <f aca="false">IF(I$5=10,Premissas!$B$52*Premissas!$B$35,0)</f>
        <v>0</v>
      </c>
      <c r="J27" s="36" t="n">
        <f aca="false">IF(J$5=10,Premissas!$B$52*Premissas!$B$35,0)</f>
        <v>0</v>
      </c>
      <c r="K27" s="36" t="n">
        <f aca="false">IF(K$5=10,Premissas!$B$52*Premissas!$B$35,0)</f>
        <v>0</v>
      </c>
      <c r="L27" s="36" t="n">
        <f aca="false">IF(L$5=10,Premissas!$B$52*Premissas!$B$35,0)</f>
        <v>0</v>
      </c>
      <c r="M27" s="36" t="n">
        <f aca="false">IF(M$5=10,Premissas!$B$52*Premissas!$B$35,0)</f>
        <v>0</v>
      </c>
      <c r="N27" s="36" t="n">
        <f aca="false">IF(N$5=10,Premissas!$B$52*Premissas!$B$35,0)</f>
        <v>0</v>
      </c>
      <c r="O27" s="36" t="n">
        <f aca="false">IF(O$5=10,Premissas!$B$52*Premissas!$B$35,0)</f>
        <v>21469050</v>
      </c>
      <c r="P27" s="3"/>
    </row>
    <row r="28" customFormat="false" ht="15" hidden="false" customHeight="false" outlineLevel="0" collapsed="false">
      <c r="A28" s="3"/>
      <c r="B28" s="14" t="s">
        <v>421</v>
      </c>
      <c r="C28" s="33" t="n">
        <f aca="false">C19+C23+C24+C25+C26+C27</f>
        <v>-9541800</v>
      </c>
      <c r="D28" s="33" t="n">
        <f aca="false">D19+D23+D24+D25+D26+D27</f>
        <v>-9541800</v>
      </c>
      <c r="E28" s="33" t="n">
        <f aca="false">E19+E23+E24+E25+E26+E27</f>
        <v>-28625400</v>
      </c>
      <c r="F28" s="33" t="n">
        <f aca="false">F19+F23+F24+F25+F26+F27</f>
        <v>-1426887.71304348</v>
      </c>
      <c r="G28" s="33" t="n">
        <f aca="false">G19+G23+G24+G25+G26+G27</f>
        <v>-624067.159913044</v>
      </c>
      <c r="H28" s="33" t="n">
        <f aca="false">H19+H23+H24+H25+H26+H27</f>
        <v>-1038687.76651043</v>
      </c>
      <c r="I28" s="33" t="n">
        <f aca="false">I19+I23+I24+I25+I26+I27</f>
        <v>-712592.13110075</v>
      </c>
      <c r="J28" s="33" t="n">
        <f aca="false">J19+J23+J24+J25+J26+J27</f>
        <v>-1660205.07916865</v>
      </c>
      <c r="K28" s="33" t="n">
        <f aca="false">K19+K23+K24+K25+K26+K27</f>
        <v>-3021378.0840731</v>
      </c>
      <c r="L28" s="33" t="n">
        <f aca="false">L19+L23+L24+L25+L26+L27</f>
        <v>-860473.471517916</v>
      </c>
      <c r="M28" s="33" t="n">
        <f aca="false">M19+M23+M24+M25+M26+M27</f>
        <v>-1406051.29949827</v>
      </c>
      <c r="N28" s="33" t="n">
        <f aca="false">N19+N23+N24+N25+N26+N27</f>
        <v>-970034.235534669</v>
      </c>
      <c r="O28" s="33" t="n">
        <f aca="false">O19+O23+O24+O25+O26+O27</f>
        <v>19135919.3882234</v>
      </c>
      <c r="P28" s="3"/>
    </row>
    <row r="29" customFormat="false" ht="15" hidden="false" customHeight="false" outlineLevel="0" collapsed="false">
      <c r="A29" s="3"/>
      <c r="B29" s="4" t="s">
        <v>422</v>
      </c>
      <c r="C29" s="36" t="n">
        <f aca="false">C28-C27</f>
        <v>-9541800</v>
      </c>
      <c r="D29" s="36" t="n">
        <f aca="false">C29+D28-D27</f>
        <v>-19083600</v>
      </c>
      <c r="E29" s="36" t="n">
        <f aca="false">D29+E28-E27</f>
        <v>-47709000</v>
      </c>
      <c r="F29" s="36" t="n">
        <f aca="false">E29+F28-F27</f>
        <v>-49135887.7130435</v>
      </c>
      <c r="G29" s="36" t="n">
        <f aca="false">F29+G28-G27</f>
        <v>-49759954.8729565</v>
      </c>
      <c r="H29" s="36" t="n">
        <f aca="false">G29+H28-H27</f>
        <v>-50798642.639467</v>
      </c>
      <c r="I29" s="36" t="n">
        <f aca="false">H29+I28-I27</f>
        <v>-51511234.7705677</v>
      </c>
      <c r="J29" s="36" t="n">
        <f aca="false">I29+J28-J27</f>
        <v>-53171439.8497364</v>
      </c>
      <c r="K29" s="36" t="n">
        <f aca="false">J29+K28-K27</f>
        <v>-56192817.9338095</v>
      </c>
      <c r="L29" s="36" t="n">
        <f aca="false">K29+L28-L27</f>
        <v>-57053291.4053274</v>
      </c>
      <c r="M29" s="36" t="n">
        <f aca="false">L29+M28-M27</f>
        <v>-58459342.7048257</v>
      </c>
      <c r="N29" s="36" t="n">
        <f aca="false">M29+N28-N27</f>
        <v>-59429376.9403603</v>
      </c>
      <c r="O29" s="36" t="n">
        <f aca="false">N29+O28-O27</f>
        <v>-61762507.5521369</v>
      </c>
      <c r="P29" s="3"/>
    </row>
    <row r="30" customFormat="false" ht="15" hidden="false" customHeight="false" outlineLevel="0" collapsed="false">
      <c r="A30" s="3"/>
      <c r="B30" s="6" t="s">
        <v>423</v>
      </c>
      <c r="C30" s="46" t="n">
        <v>0</v>
      </c>
      <c r="D30" s="46" t="n">
        <v>0</v>
      </c>
      <c r="E30" s="46" t="n">
        <v>0</v>
      </c>
      <c r="F30" s="46" t="n">
        <f aca="false">IF(AND(E29&lt;0,F29&gt;=0),F$5-1+(-E29)/(F28-F27),0)</f>
        <v>0</v>
      </c>
      <c r="G30" s="46" t="n">
        <f aca="false">IF(AND(F29&lt;0,G29&gt;=0),G$5-1+(-F29)/(G28-G27),0)</f>
        <v>0</v>
      </c>
      <c r="H30" s="46" t="n">
        <f aca="false">IF(AND(G29&lt;0,H29&gt;=0),H$5-1+(-G29)/(H28-H27),0)</f>
        <v>0</v>
      </c>
      <c r="I30" s="46" t="n">
        <f aca="false">IF(AND(H29&lt;0,I29&gt;=0),I$5-1+(-H29)/(I28-I27),0)</f>
        <v>0</v>
      </c>
      <c r="J30" s="46" t="n">
        <f aca="false">IF(AND(I29&lt;0,J29&gt;=0),J$5-1+(-I29)/(J28-J27),0)</f>
        <v>0</v>
      </c>
      <c r="K30" s="46" t="n">
        <f aca="false">IF(AND(J29&lt;0,K29&gt;=0),K$5-1+(-J29)/(K28-K27),0)</f>
        <v>0</v>
      </c>
      <c r="L30" s="46" t="n">
        <f aca="false">IF(AND(K29&lt;0,L29&gt;=0),L$5-1+(-K29)/(L28-L27),0)</f>
        <v>0</v>
      </c>
      <c r="M30" s="46" t="n">
        <f aca="false">IF(AND(L29&lt;0,M29&gt;=0),M$5-1+(-L29)/(M28-M27),0)</f>
        <v>0</v>
      </c>
      <c r="N30" s="46" t="n">
        <f aca="false">IF(AND(M29&lt;0,N29&gt;=0),N$5-1+(-M29)/(N28-N27),0)</f>
        <v>0</v>
      </c>
      <c r="O30" s="46" t="n">
        <f aca="false">IF(AND(N29&lt;0,O29&gt;=0),O$5-1+(-N29)/(O28-O27),0)</f>
        <v>0</v>
      </c>
      <c r="P30" s="3"/>
    </row>
    <row r="31" customFormat="false" ht="15" hidden="false" customHeight="false" outlineLevel="0" collapsed="false">
      <c r="A31" s="3"/>
      <c r="B31" s="14" t="s">
        <v>424</v>
      </c>
      <c r="C31" s="47" t="n">
        <f aca="false">IFERROR(IRR(C28:O28,0.05),IFERROR(IRR(C28:O28,-0.05),IF(SUM(C28:O28)&lt;0,"negativa","n/d")))</f>
        <v>-0.119336939559707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" hidden="false" customHeight="false" outlineLevel="0" collapsed="false">
      <c r="A32" s="3"/>
      <c r="B32" s="14" t="s">
        <v>425</v>
      </c>
      <c r="C32" s="48" t="n">
        <f aca="false">C28*(1+Premissas!$B$10)^2+D28*(1+Premissas!$B$10)+E28+NPV(Premissas!$B$10,F28:O28)</f>
        <v>-50614480.1908834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" hidden="false" customHeight="false" outlineLevel="0" collapsed="false">
      <c r="A33" s="3"/>
      <c r="B33" s="14" t="s">
        <v>426</v>
      </c>
      <c r="C33" s="49" t="str">
        <f aca="false">IF(SUM(F30:O30)=0,"&gt; 10",SUM(F30:O30))</f>
        <v>&gt; 10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" hidden="false" customHeight="false" outlineLevel="0" collapsed="false">
      <c r="A34" s="3"/>
      <c r="B34" s="14" t="s">
        <v>427</v>
      </c>
      <c r="C34" s="47" t="n">
        <f aca="false">SUM(C28:O28)/-SUM(C26:E26)</f>
        <v>-0.844567221114191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" hidden="false" customHeight="false" outlineLevel="0" collapsed="false">
      <c r="A35" s="3"/>
      <c r="B35" s="14" t="s">
        <v>428</v>
      </c>
      <c r="C35" s="47" t="n">
        <f aca="false">AVERAGE(F22:O22)*(1-Premissas!$B$11)/-SUM(C26:E26)</f>
        <v>-0.0446530269162887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" hidden="false" customHeight="false" outlineLevel="0" collapsed="false">
      <c r="A36" s="3"/>
      <c r="B36" s="14" t="s">
        <v>429</v>
      </c>
      <c r="C36" s="48" t="n">
        <f aca="false">H19</f>
        <v>-414300.376010435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" hidden="false" customHeight="false" outlineLevel="0" collapsed="false">
      <c r="A37" s="3"/>
      <c r="B37" s="14" t="s">
        <v>430</v>
      </c>
      <c r="C37" s="48" t="n">
        <f aca="false">H16</f>
        <v>5039636.319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" hidden="false" customHeight="false" outlineLevel="0" collapsed="false">
      <c r="A38" s="3"/>
      <c r="B38" s="14" t="s">
        <v>431</v>
      </c>
      <c r="C38" s="47" t="n">
        <f aca="false">H20</f>
        <v>-0.0822083876267967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" hidden="false" customHeight="false" outlineLevel="0" collapsed="false">
      <c r="A39" s="3"/>
      <c r="B39" s="14" t="s">
        <v>432</v>
      </c>
      <c r="C39" s="48" t="n">
        <f aca="false">-(H17+H18)</f>
        <v>5453936.69501044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" hidden="false" customHeight="false" outlineLevel="0" collapsed="false">
      <c r="A40" s="3"/>
      <c r="B40" s="14" t="s">
        <v>433</v>
      </c>
      <c r="C40" s="50" t="n">
        <f aca="false">IFERROR(-H18/((H16+H17)/H6),"n/d")</f>
        <v>22.3362818048308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5" hidden="false" customHeight="false" outlineLevel="0" collapsed="false">
      <c r="A41" s="3"/>
      <c r="B41" s="14" t="s">
        <v>434</v>
      </c>
      <c r="C41" s="48" t="n">
        <f aca="false">-SUM(C26:E26)</f>
        <v>47709000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" hidden="false" customHeight="false" outlineLevel="0" collapsed="false">
      <c r="A42" s="3"/>
      <c r="B42" s="14" t="s">
        <v>435</v>
      </c>
      <c r="C42" s="48" t="n">
        <f aca="false">O27</f>
        <v>21469050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5" hidden="false" customHeight="false" outlineLevel="0" collapsed="false">
      <c r="A45" s="3"/>
      <c r="B45" s="19" t="s">
        <v>436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3"/>
      <c r="B46" s="14" t="s">
        <v>398</v>
      </c>
      <c r="C46" s="44" t="n">
        <v>-2</v>
      </c>
      <c r="D46" s="44" t="n">
        <v>-1</v>
      </c>
      <c r="E46" s="44" t="n">
        <v>0</v>
      </c>
      <c r="F46" s="44" t="n">
        <v>1</v>
      </c>
      <c r="G46" s="44" t="n">
        <v>2</v>
      </c>
      <c r="H46" s="44" t="n">
        <v>3</v>
      </c>
      <c r="I46" s="44" t="n">
        <v>4</v>
      </c>
      <c r="J46" s="44" t="n">
        <v>5</v>
      </c>
      <c r="K46" s="44" t="n">
        <v>6</v>
      </c>
      <c r="L46" s="44" t="n">
        <v>7</v>
      </c>
      <c r="M46" s="44" t="n">
        <v>8</v>
      </c>
      <c r="N46" s="44" t="n">
        <v>9</v>
      </c>
      <c r="O46" s="44" t="n">
        <v>10</v>
      </c>
      <c r="P46" s="3"/>
    </row>
    <row r="47" customFormat="false" ht="15" hidden="false" customHeight="false" outlineLevel="0" collapsed="false">
      <c r="A47" s="3"/>
      <c r="B47" s="4" t="s">
        <v>399</v>
      </c>
      <c r="C47" s="39" t="n">
        <f aca="false">IF(C$46&gt;=1,Premissas!$C$29*IF(C$46=1,Premissas!$C$37,1),0)</f>
        <v>0</v>
      </c>
      <c r="D47" s="39" t="n">
        <f aca="false">IF(D$46&gt;=1,Premissas!$C$29*IF(D$46=1,Premissas!$C$37,1),0)</f>
        <v>0</v>
      </c>
      <c r="E47" s="39" t="n">
        <f aca="false">IF(E$46&gt;=1,Premissas!$C$29*IF(E$46=1,Premissas!$C$37,1),0)</f>
        <v>0</v>
      </c>
      <c r="F47" s="39" t="n">
        <f aca="false">IF(F$46&gt;=1,Premissas!$C$29*IF(F$46=1,Premissas!$C$37,1),0)</f>
        <v>22.1</v>
      </c>
      <c r="G47" s="39" t="n">
        <f aca="false">IF(G$46&gt;=1,Premissas!$C$29*IF(G$46=1,Premissas!$C$37,1),0)</f>
        <v>26</v>
      </c>
      <c r="H47" s="39" t="n">
        <f aca="false">IF(H$46&gt;=1,Premissas!$C$29*IF(H$46=1,Premissas!$C$37,1),0)</f>
        <v>26</v>
      </c>
      <c r="I47" s="39" t="n">
        <f aca="false">IF(I$46&gt;=1,Premissas!$C$29*IF(I$46=1,Premissas!$C$37,1),0)</f>
        <v>26</v>
      </c>
      <c r="J47" s="39" t="n">
        <f aca="false">IF(J$46&gt;=1,Premissas!$C$29*IF(J$46=1,Premissas!$C$37,1),0)</f>
        <v>26</v>
      </c>
      <c r="K47" s="39" t="n">
        <f aca="false">IF(K$46&gt;=1,Premissas!$C$29*IF(K$46=1,Premissas!$C$37,1),0)</f>
        <v>26</v>
      </c>
      <c r="L47" s="39" t="n">
        <f aca="false">IF(L$46&gt;=1,Premissas!$C$29*IF(L$46=1,Premissas!$C$37,1),0)</f>
        <v>26</v>
      </c>
      <c r="M47" s="39" t="n">
        <f aca="false">IF(M$46&gt;=1,Premissas!$C$29*IF(M$46=1,Premissas!$C$37,1),0)</f>
        <v>26</v>
      </c>
      <c r="N47" s="39" t="n">
        <f aca="false">IF(N$46&gt;=1,Premissas!$C$29*IF(N$46=1,Premissas!$C$37,1),0)</f>
        <v>26</v>
      </c>
      <c r="O47" s="39" t="n">
        <f aca="false">IF(O$46&gt;=1,Premissas!$C$29*IF(O$46=1,Premissas!$C$37,1),0)</f>
        <v>26</v>
      </c>
      <c r="P47" s="3"/>
    </row>
    <row r="48" customFormat="false" ht="15" hidden="false" customHeight="false" outlineLevel="0" collapsed="false">
      <c r="A48" s="3"/>
      <c r="B48" s="4" t="s">
        <v>400</v>
      </c>
      <c r="C48" s="39" t="n">
        <f aca="false">MIN(C47,Premissas!$C$30)</f>
        <v>0</v>
      </c>
      <c r="D48" s="39" t="n">
        <f aca="false">MIN(D47,Premissas!$C$30)</f>
        <v>0</v>
      </c>
      <c r="E48" s="39" t="n">
        <f aca="false">MIN(E47,Premissas!$C$30)</f>
        <v>0</v>
      </c>
      <c r="F48" s="39" t="n">
        <f aca="false">MIN(F47,Premissas!$C$30)</f>
        <v>8</v>
      </c>
      <c r="G48" s="39" t="n">
        <f aca="false">MIN(G47,Premissas!$C$30)</f>
        <v>8</v>
      </c>
      <c r="H48" s="39" t="n">
        <f aca="false">MIN(H47,Premissas!$C$30)</f>
        <v>8</v>
      </c>
      <c r="I48" s="39" t="n">
        <f aca="false">MIN(I47,Premissas!$C$30)</f>
        <v>8</v>
      </c>
      <c r="J48" s="39" t="n">
        <f aca="false">MIN(J47,Premissas!$C$30)</f>
        <v>8</v>
      </c>
      <c r="K48" s="39" t="n">
        <f aca="false">MIN(K47,Premissas!$C$30)</f>
        <v>8</v>
      </c>
      <c r="L48" s="39" t="n">
        <f aca="false">MIN(L47,Premissas!$C$30)</f>
        <v>8</v>
      </c>
      <c r="M48" s="39" t="n">
        <f aca="false">MIN(M47,Premissas!$C$30)</f>
        <v>8</v>
      </c>
      <c r="N48" s="39" t="n">
        <f aca="false">MIN(N47,Premissas!$C$30)</f>
        <v>8</v>
      </c>
      <c r="O48" s="39" t="n">
        <f aca="false">MIN(O47,Premissas!$C$30)</f>
        <v>8</v>
      </c>
      <c r="P48" s="3"/>
    </row>
    <row r="49" customFormat="false" ht="15" hidden="false" customHeight="false" outlineLevel="0" collapsed="false">
      <c r="A49" s="3"/>
      <c r="B49" s="4" t="s">
        <v>401</v>
      </c>
      <c r="C49" s="39" t="n">
        <f aca="false">MIN(C47-C48,Premissas!$C$31)</f>
        <v>0</v>
      </c>
      <c r="D49" s="39" t="n">
        <f aca="false">MIN(D47-D48,Premissas!$C$31)</f>
        <v>0</v>
      </c>
      <c r="E49" s="39" t="n">
        <f aca="false">MIN(E47-E48,Premissas!$C$31)</f>
        <v>0</v>
      </c>
      <c r="F49" s="39" t="n">
        <f aca="false">MIN(F47-F48,Premissas!$C$31)</f>
        <v>4</v>
      </c>
      <c r="G49" s="39" t="n">
        <f aca="false">MIN(G47-G48,Premissas!$C$31)</f>
        <v>4</v>
      </c>
      <c r="H49" s="39" t="n">
        <f aca="false">MIN(H47-H48,Premissas!$C$31)</f>
        <v>4</v>
      </c>
      <c r="I49" s="39" t="n">
        <f aca="false">MIN(I47-I48,Premissas!$C$31)</f>
        <v>4</v>
      </c>
      <c r="J49" s="39" t="n">
        <f aca="false">MIN(J47-J48,Premissas!$C$31)</f>
        <v>4</v>
      </c>
      <c r="K49" s="39" t="n">
        <f aca="false">MIN(K47-K48,Premissas!$C$31)</f>
        <v>4</v>
      </c>
      <c r="L49" s="39" t="n">
        <f aca="false">MIN(L47-L48,Premissas!$C$31)</f>
        <v>4</v>
      </c>
      <c r="M49" s="39" t="n">
        <f aca="false">MIN(M47-M48,Premissas!$C$31)</f>
        <v>4</v>
      </c>
      <c r="N49" s="39" t="n">
        <f aca="false">MIN(N47-N48,Premissas!$C$31)</f>
        <v>4</v>
      </c>
      <c r="O49" s="39" t="n">
        <f aca="false">MIN(O47-O48,Premissas!$C$31)</f>
        <v>4</v>
      </c>
      <c r="P49" s="3"/>
    </row>
    <row r="50" customFormat="false" ht="15" hidden="false" customHeight="false" outlineLevel="0" collapsed="false">
      <c r="A50" s="3"/>
      <c r="B50" s="4" t="s">
        <v>402</v>
      </c>
      <c r="C50" s="39" t="n">
        <f aca="false">C47-C48-C49</f>
        <v>0</v>
      </c>
      <c r="D50" s="39" t="n">
        <f aca="false">D47-D48-D49</f>
        <v>0</v>
      </c>
      <c r="E50" s="39" t="n">
        <f aca="false">E47-E48-E49</f>
        <v>0</v>
      </c>
      <c r="F50" s="39" t="n">
        <f aca="false">F47-F48-F49</f>
        <v>10.1</v>
      </c>
      <c r="G50" s="39" t="n">
        <f aca="false">G47-G48-G49</f>
        <v>14</v>
      </c>
      <c r="H50" s="39" t="n">
        <f aca="false">H47-H48-H49</f>
        <v>14</v>
      </c>
      <c r="I50" s="39" t="n">
        <f aca="false">I47-I48-I49</f>
        <v>14</v>
      </c>
      <c r="J50" s="39" t="n">
        <f aca="false">J47-J48-J49</f>
        <v>14</v>
      </c>
      <c r="K50" s="39" t="n">
        <f aca="false">K47-K48-K49</f>
        <v>14</v>
      </c>
      <c r="L50" s="39" t="n">
        <f aca="false">L47-L48-L49</f>
        <v>14</v>
      </c>
      <c r="M50" s="39" t="n">
        <f aca="false">M47-M48-M49</f>
        <v>14</v>
      </c>
      <c r="N50" s="39" t="n">
        <f aca="false">N47-N48-N49</f>
        <v>14</v>
      </c>
      <c r="O50" s="39" t="n">
        <f aca="false">O47-O48-O49</f>
        <v>14</v>
      </c>
      <c r="P50" s="3"/>
    </row>
    <row r="51" customFormat="false" ht="15" hidden="false" customHeight="false" outlineLevel="0" collapsed="false">
      <c r="A51" s="3"/>
      <c r="B51" s="4" t="s">
        <v>403</v>
      </c>
      <c r="C51" s="45" t="n">
        <f aca="false">IF(C$46&gt;=1,(1+Premissas!$B$8)^(C$46-1),0)</f>
        <v>0</v>
      </c>
      <c r="D51" s="45" t="n">
        <f aca="false">IF(D$46&gt;=1,(1+Premissas!$B$8)^(D$46-1),0)</f>
        <v>0</v>
      </c>
      <c r="E51" s="45" t="n">
        <f aca="false">IF(E$46&gt;=1,(1+Premissas!$B$8)^(E$46-1),0)</f>
        <v>0</v>
      </c>
      <c r="F51" s="45" t="n">
        <f aca="false">IF(F$46&gt;=1,(1+Premissas!$B$8)^(F$46-1),0)</f>
        <v>1</v>
      </c>
      <c r="G51" s="45" t="n">
        <f aca="false">IF(G$46&gt;=1,(1+Premissas!$B$8)^(G$46-1),0)</f>
        <v>1.025</v>
      </c>
      <c r="H51" s="45" t="n">
        <f aca="false">IF(H$46&gt;=1,(1+Premissas!$B$8)^(H$46-1),0)</f>
        <v>1.050625</v>
      </c>
      <c r="I51" s="45" t="n">
        <f aca="false">IF(I$46&gt;=1,(1+Premissas!$B$8)^(I$46-1),0)</f>
        <v>1.076890625</v>
      </c>
      <c r="J51" s="45" t="n">
        <f aca="false">IF(J$46&gt;=1,(1+Premissas!$B$8)^(J$46-1),0)</f>
        <v>1.103812890625</v>
      </c>
      <c r="K51" s="45" t="n">
        <f aca="false">IF(K$46&gt;=1,(1+Premissas!$B$8)^(K$46-1),0)</f>
        <v>1.13140821289062</v>
      </c>
      <c r="L51" s="45" t="n">
        <f aca="false">IF(L$46&gt;=1,(1+Premissas!$B$8)^(L$46-1),0)</f>
        <v>1.15969341821289</v>
      </c>
      <c r="M51" s="45" t="n">
        <f aca="false">IF(M$46&gt;=1,(1+Premissas!$B$8)^(M$46-1),0)</f>
        <v>1.18868575366821</v>
      </c>
      <c r="N51" s="45" t="n">
        <f aca="false">IF(N$46&gt;=1,(1+Premissas!$B$8)^(N$46-1),0)</f>
        <v>1.21840289750992</v>
      </c>
      <c r="O51" s="45" t="n">
        <f aca="false">IF(O$46&gt;=1,(1+Premissas!$B$8)^(O$46-1),0)</f>
        <v>1.24886296994767</v>
      </c>
      <c r="P51" s="3"/>
    </row>
    <row r="52" customFormat="false" ht="15" hidden="false" customHeight="false" outlineLevel="0" collapsed="false">
      <c r="A52" s="3"/>
      <c r="B52" s="4" t="s">
        <v>404</v>
      </c>
      <c r="C52" s="45" t="n">
        <f aca="false">IF(C$46&gt;=1,(1+Premissas!$B$9)^(C$46-1),0)</f>
        <v>0</v>
      </c>
      <c r="D52" s="45" t="n">
        <f aca="false">IF(D$46&gt;=1,(1+Premissas!$B$9)^(D$46-1),0)</f>
        <v>0</v>
      </c>
      <c r="E52" s="45" t="n">
        <f aca="false">IF(E$46&gt;=1,(1+Premissas!$B$9)^(E$46-1),0)</f>
        <v>0</v>
      </c>
      <c r="F52" s="45" t="n">
        <f aca="false">IF(F$46&gt;=1,(1+Premissas!$B$9)^(F$46-1),0)</f>
        <v>1</v>
      </c>
      <c r="G52" s="45" t="n">
        <f aca="false">IF(G$46&gt;=1,(1+Premissas!$B$9)^(G$46-1),0)</f>
        <v>1.03</v>
      </c>
      <c r="H52" s="45" t="n">
        <f aca="false">IF(H$46&gt;=1,(1+Premissas!$B$9)^(H$46-1),0)</f>
        <v>1.0609</v>
      </c>
      <c r="I52" s="45" t="n">
        <f aca="false">IF(I$46&gt;=1,(1+Premissas!$B$9)^(I$46-1),0)</f>
        <v>1.092727</v>
      </c>
      <c r="J52" s="45" t="n">
        <f aca="false">IF(J$46&gt;=1,(1+Premissas!$B$9)^(J$46-1),0)</f>
        <v>1.12550881</v>
      </c>
      <c r="K52" s="45" t="n">
        <f aca="false">IF(K$46&gt;=1,(1+Premissas!$B$9)^(K$46-1),0)</f>
        <v>1.1592740743</v>
      </c>
      <c r="L52" s="45" t="n">
        <f aca="false">IF(L$46&gt;=1,(1+Premissas!$B$9)^(L$46-1),0)</f>
        <v>1.194052296529</v>
      </c>
      <c r="M52" s="45" t="n">
        <f aca="false">IF(M$46&gt;=1,(1+Premissas!$B$9)^(M$46-1),0)</f>
        <v>1.22987386542487</v>
      </c>
      <c r="N52" s="45" t="n">
        <f aca="false">IF(N$46&gt;=1,(1+Premissas!$B$9)^(N$46-1),0)</f>
        <v>1.26677008138762</v>
      </c>
      <c r="O52" s="45" t="n">
        <f aca="false">IF(O$46&gt;=1,(1+Premissas!$B$9)^(O$46-1),0)</f>
        <v>1.30477318382925</v>
      </c>
      <c r="P52" s="3"/>
    </row>
    <row r="53" customFormat="false" ht="15" hidden="false" customHeight="false" outlineLevel="0" collapsed="false">
      <c r="A53" s="3"/>
      <c r="B53" s="4" t="s">
        <v>405</v>
      </c>
      <c r="C53" s="36" t="n">
        <f aca="false">C48*Premissas!$B$77*Premissas!$C$32*C51</f>
        <v>0</v>
      </c>
      <c r="D53" s="36" t="n">
        <f aca="false">D48*Premissas!$B$77*Premissas!$C$32*D51</f>
        <v>0</v>
      </c>
      <c r="E53" s="36" t="n">
        <f aca="false">E48*Premissas!$B$77*Premissas!$C$32*E51</f>
        <v>0</v>
      </c>
      <c r="F53" s="36" t="n">
        <f aca="false">F48*Premissas!$B$77*Premissas!$C$32*F51</f>
        <v>2400000</v>
      </c>
      <c r="G53" s="36" t="n">
        <f aca="false">G48*Premissas!$B$77*Premissas!$C$32*G51</f>
        <v>2460000</v>
      </c>
      <c r="H53" s="36" t="n">
        <f aca="false">H48*Premissas!$B$77*Premissas!$C$32*H51</f>
        <v>2521500</v>
      </c>
      <c r="I53" s="36" t="n">
        <f aca="false">I48*Premissas!$B$77*Premissas!$C$32*I51</f>
        <v>2584537.5</v>
      </c>
      <c r="J53" s="36" t="n">
        <f aca="false">J48*Premissas!$B$77*Premissas!$C$32*J51</f>
        <v>2649150.9375</v>
      </c>
      <c r="K53" s="36" t="n">
        <f aca="false">K48*Premissas!$B$77*Premissas!$C$32*K51</f>
        <v>2715379.7109375</v>
      </c>
      <c r="L53" s="36" t="n">
        <f aca="false">L48*Premissas!$B$77*Premissas!$C$32*L51</f>
        <v>2783264.20371094</v>
      </c>
      <c r="M53" s="36" t="n">
        <f aca="false">M48*Premissas!$B$77*Premissas!$C$32*M51</f>
        <v>2852845.80880371</v>
      </c>
      <c r="N53" s="36" t="n">
        <f aca="false">N48*Premissas!$B$77*Premissas!$C$32*N51</f>
        <v>2924166.9540238</v>
      </c>
      <c r="O53" s="36" t="n">
        <f aca="false">O48*Premissas!$B$77*Premissas!$C$32*O51</f>
        <v>2997271.1278744</v>
      </c>
      <c r="P53" s="3"/>
    </row>
    <row r="54" customFormat="false" ht="15" hidden="false" customHeight="false" outlineLevel="0" collapsed="false">
      <c r="A54" s="3"/>
      <c r="B54" s="4" t="s">
        <v>406</v>
      </c>
      <c r="C54" s="36" t="n">
        <f aca="false">C50*Premissas!$B$77*Premissas!$C$32*(1-Premissas!$B$12)*C51</f>
        <v>0</v>
      </c>
      <c r="D54" s="36" t="n">
        <f aca="false">D50*Premissas!$B$77*Premissas!$C$32*(1-Premissas!$B$12)*D51</f>
        <v>0</v>
      </c>
      <c r="E54" s="36" t="n">
        <f aca="false">E50*Premissas!$B$77*Premissas!$C$32*(1-Premissas!$B$12)*E51</f>
        <v>0</v>
      </c>
      <c r="F54" s="36" t="n">
        <f aca="false">F50*Premissas!$B$77*Premissas!$C$32*(1-Premissas!$B$12)*F51</f>
        <v>2575500</v>
      </c>
      <c r="G54" s="36" t="n">
        <f aca="false">G50*Premissas!$B$77*Premissas!$C$32*(1-Premissas!$B$12)*G51</f>
        <v>3659250</v>
      </c>
      <c r="H54" s="36" t="n">
        <f aca="false">H50*Premissas!$B$77*Premissas!$C$32*(1-Premissas!$B$12)*H51</f>
        <v>3750731.25</v>
      </c>
      <c r="I54" s="36" t="n">
        <f aca="false">I50*Premissas!$B$77*Premissas!$C$32*(1-Premissas!$B$12)*I51</f>
        <v>3844499.53125</v>
      </c>
      <c r="J54" s="36" t="n">
        <f aca="false">J50*Premissas!$B$77*Premissas!$C$32*(1-Premissas!$B$12)*J51</f>
        <v>3940612.01953125</v>
      </c>
      <c r="K54" s="36" t="n">
        <f aca="false">K50*Premissas!$B$77*Premissas!$C$32*(1-Premissas!$B$12)*K51</f>
        <v>4039127.32001953</v>
      </c>
      <c r="L54" s="36" t="n">
        <f aca="false">L50*Premissas!$B$77*Premissas!$C$32*(1-Premissas!$B$12)*L51</f>
        <v>4140105.50302002</v>
      </c>
      <c r="M54" s="36" t="n">
        <f aca="false">M50*Premissas!$B$77*Premissas!$C$32*(1-Premissas!$B$12)*M51</f>
        <v>4243608.14059552</v>
      </c>
      <c r="N54" s="36" t="n">
        <f aca="false">N50*Premissas!$B$77*Premissas!$C$32*(1-Premissas!$B$12)*N51</f>
        <v>4349698.34411041</v>
      </c>
      <c r="O54" s="36" t="n">
        <f aca="false">O50*Premissas!$B$77*Premissas!$C$32*(1-Premissas!$B$12)*O51</f>
        <v>4458440.80271317</v>
      </c>
      <c r="P54" s="3"/>
    </row>
    <row r="55" customFormat="false" ht="15" hidden="false" customHeight="false" outlineLevel="0" collapsed="false">
      <c r="A55" s="3"/>
      <c r="B55" s="4" t="s">
        <v>407</v>
      </c>
      <c r="C55" s="36" t="n">
        <f aca="false">C49*Premissas!$B$44*Premissas!$C$38*Premissas!$B$78*Premissas!$C$32*(1-Premissas!$B$12)*C51</f>
        <v>0</v>
      </c>
      <c r="D55" s="36" t="n">
        <f aca="false">D49*Premissas!$B$44*Premissas!$C$38*Premissas!$B$78*Premissas!$C$32*(1-Premissas!$B$12)*D51</f>
        <v>0</v>
      </c>
      <c r="E55" s="36" t="n">
        <f aca="false">E49*Premissas!$B$44*Premissas!$C$38*Premissas!$B$78*Premissas!$C$32*(1-Premissas!$B$12)*E51</f>
        <v>0</v>
      </c>
      <c r="F55" s="36" t="n">
        <f aca="false">F49*Premissas!$B$44*Premissas!$C$38*Premissas!$B$78*Premissas!$C$32*(1-Premissas!$B$12)*F51</f>
        <v>881280</v>
      </c>
      <c r="G55" s="36" t="n">
        <f aca="false">G49*Premissas!$B$44*Premissas!$C$38*Premissas!$B$78*Premissas!$C$32*(1-Premissas!$B$12)*G51</f>
        <v>903312</v>
      </c>
      <c r="H55" s="36" t="n">
        <f aca="false">H49*Premissas!$B$44*Premissas!$C$38*Premissas!$B$78*Premissas!$C$32*(1-Premissas!$B$12)*H51</f>
        <v>925894.8</v>
      </c>
      <c r="I55" s="36" t="n">
        <f aca="false">I49*Premissas!$B$44*Premissas!$C$38*Premissas!$B$78*Premissas!$C$32*(1-Premissas!$B$12)*I51</f>
        <v>949042.17</v>
      </c>
      <c r="J55" s="36" t="n">
        <f aca="false">J49*Premissas!$B$44*Premissas!$C$38*Premissas!$B$78*Premissas!$C$32*(1-Premissas!$B$12)*J51</f>
        <v>972768.22425</v>
      </c>
      <c r="K55" s="36" t="n">
        <f aca="false">K49*Premissas!$B$44*Premissas!$C$38*Premissas!$B$78*Premissas!$C$32*(1-Premissas!$B$12)*K51</f>
        <v>997087.42985625</v>
      </c>
      <c r="L55" s="36" t="n">
        <f aca="false">L49*Premissas!$B$44*Premissas!$C$38*Premissas!$B$78*Premissas!$C$32*(1-Premissas!$B$12)*L51</f>
        <v>1022014.61560266</v>
      </c>
      <c r="M55" s="36" t="n">
        <f aca="false">M49*Premissas!$B$44*Premissas!$C$38*Premissas!$B$78*Premissas!$C$32*(1-Premissas!$B$12)*M51</f>
        <v>1047564.98099272</v>
      </c>
      <c r="N55" s="36" t="n">
        <f aca="false">N49*Premissas!$B$44*Premissas!$C$38*Premissas!$B$78*Premissas!$C$32*(1-Premissas!$B$12)*N51</f>
        <v>1073754.10551754</v>
      </c>
      <c r="O55" s="36" t="n">
        <f aca="false">O49*Premissas!$B$44*Premissas!$C$38*Premissas!$B$78*Premissas!$C$32*(1-Premissas!$B$12)*O51</f>
        <v>1100597.95815548</v>
      </c>
      <c r="P55" s="3"/>
    </row>
    <row r="56" customFormat="false" ht="15" hidden="false" customHeight="false" outlineLevel="0" collapsed="false">
      <c r="A56" s="3"/>
      <c r="B56" s="4" t="s">
        <v>408</v>
      </c>
      <c r="C56" s="36" t="n">
        <f aca="false">C47*Premissas!$B$44*Premissas!$B$14*Premissas!$B$13*C51</f>
        <v>0</v>
      </c>
      <c r="D56" s="36" t="n">
        <f aca="false">D47*Premissas!$B$44*Premissas!$B$14*Premissas!$B$13*D51</f>
        <v>0</v>
      </c>
      <c r="E56" s="36" t="n">
        <f aca="false">E47*Premissas!$B$44*Premissas!$B$14*Premissas!$B$13*E51</f>
        <v>0</v>
      </c>
      <c r="F56" s="36" t="n">
        <f aca="false">F47*Premissas!$B$44*Premissas!$B$14*Premissas!$B$13*F51</f>
        <v>214812</v>
      </c>
      <c r="G56" s="36" t="n">
        <f aca="false">G47*Premissas!$B$44*Premissas!$B$14*Premissas!$B$13*G51</f>
        <v>259038</v>
      </c>
      <c r="H56" s="36" t="n">
        <f aca="false">H47*Premissas!$B$44*Premissas!$B$14*Premissas!$B$13*H51</f>
        <v>265513.95</v>
      </c>
      <c r="I56" s="36" t="n">
        <f aca="false">I47*Premissas!$B$44*Premissas!$B$14*Premissas!$B$13*I51</f>
        <v>272151.79875</v>
      </c>
      <c r="J56" s="36" t="n">
        <f aca="false">J47*Premissas!$B$44*Premissas!$B$14*Premissas!$B$13*J51</f>
        <v>278955.59371875</v>
      </c>
      <c r="K56" s="36" t="n">
        <f aca="false">K47*Premissas!$B$44*Premissas!$B$14*Premissas!$B$13*K51</f>
        <v>285929.483561719</v>
      </c>
      <c r="L56" s="36" t="n">
        <f aca="false">L47*Premissas!$B$44*Premissas!$B$14*Premissas!$B$13*L51</f>
        <v>293077.720650762</v>
      </c>
      <c r="M56" s="36" t="n">
        <f aca="false">M47*Premissas!$B$44*Premissas!$B$14*Premissas!$B$13*M51</f>
        <v>300404.663667031</v>
      </c>
      <c r="N56" s="36" t="n">
        <f aca="false">N47*Premissas!$B$44*Premissas!$B$14*Premissas!$B$13*N51</f>
        <v>307914.780258706</v>
      </c>
      <c r="O56" s="36" t="n">
        <f aca="false">O47*Premissas!$B$44*Premissas!$B$14*Premissas!$B$13*O51</f>
        <v>315612.649765174</v>
      </c>
      <c r="P56" s="3"/>
    </row>
    <row r="57" customFormat="false" ht="15" hidden="false" customHeight="false" outlineLevel="0" collapsed="false">
      <c r="A57" s="3"/>
      <c r="B57" s="14" t="s">
        <v>409</v>
      </c>
      <c r="C57" s="33" t="n">
        <f aca="false">SUM(C53:C56)</f>
        <v>0</v>
      </c>
      <c r="D57" s="33" t="n">
        <f aca="false">SUM(D53:D56)</f>
        <v>0</v>
      </c>
      <c r="E57" s="33" t="n">
        <f aca="false">SUM(E53:E56)</f>
        <v>0</v>
      </c>
      <c r="F57" s="33" t="n">
        <f aca="false">SUM(F53:F56)</f>
        <v>6071592</v>
      </c>
      <c r="G57" s="33" t="n">
        <f aca="false">SUM(G53:G56)</f>
        <v>7281600</v>
      </c>
      <c r="H57" s="33" t="n">
        <f aca="false">SUM(H53:H56)</f>
        <v>7463640</v>
      </c>
      <c r="I57" s="33" t="n">
        <f aca="false">SUM(I53:I56)</f>
        <v>7650231</v>
      </c>
      <c r="J57" s="33" t="n">
        <f aca="false">SUM(J53:J56)</f>
        <v>7841486.775</v>
      </c>
      <c r="K57" s="33" t="n">
        <f aca="false">SUM(K53:K56)</f>
        <v>8037523.944375</v>
      </c>
      <c r="L57" s="33" t="n">
        <f aca="false">SUM(L53:L56)</f>
        <v>8238462.04298437</v>
      </c>
      <c r="M57" s="33" t="n">
        <f aca="false">SUM(M53:M56)</f>
        <v>8444423.59405898</v>
      </c>
      <c r="N57" s="33" t="n">
        <f aca="false">SUM(N53:N56)</f>
        <v>8655534.18391045</v>
      </c>
      <c r="O57" s="33" t="n">
        <f aca="false">SUM(O53:O56)</f>
        <v>8871922.53850821</v>
      </c>
      <c r="P57" s="3"/>
    </row>
    <row r="58" customFormat="false" ht="15" hidden="false" customHeight="false" outlineLevel="0" collapsed="false">
      <c r="A58" s="3"/>
      <c r="B58" s="4" t="s">
        <v>410</v>
      </c>
      <c r="C58" s="36" t="n">
        <f aca="false">-C47*(Premissas!$B$70*Premissas!$C$34/Premissas!$B$6+Premissas!$B$75)*Premissas!$C$33*C52</f>
        <v>-0</v>
      </c>
      <c r="D58" s="36" t="n">
        <f aca="false">-D47*(Premissas!$B$70*Premissas!$C$34/Premissas!$B$6+Premissas!$B$75)*Premissas!$C$33*D52</f>
        <v>-0</v>
      </c>
      <c r="E58" s="36" t="n">
        <f aca="false">-E47*(Premissas!$B$70*Premissas!$C$34/Premissas!$B$6+Premissas!$B$75)*Premissas!$C$33*E52</f>
        <v>-0</v>
      </c>
      <c r="F58" s="36" t="n">
        <f aca="false">-F47*(Premissas!$B$70*Premissas!$C$34/Premissas!$B$6+Premissas!$B$75)*Premissas!$C$33*F52</f>
        <v>-1221491.9826087</v>
      </c>
      <c r="G58" s="36" t="n">
        <f aca="false">-G47*(Premissas!$B$70*Premissas!$C$34/Premissas!$B$6+Premissas!$B$75)*Premissas!$C$33*G52</f>
        <v>-1480160.87304348</v>
      </c>
      <c r="H58" s="36" t="n">
        <f aca="false">-H47*(Premissas!$B$70*Premissas!$C$34/Premissas!$B$6+Premissas!$B$75)*Premissas!$C$33*H52</f>
        <v>-1524565.69923478</v>
      </c>
      <c r="I58" s="36" t="n">
        <f aca="false">-I47*(Premissas!$B$70*Premissas!$C$34/Premissas!$B$6+Premissas!$B$75)*Premissas!$C$33*I52</f>
        <v>-1570302.67021183</v>
      </c>
      <c r="J58" s="36" t="n">
        <f aca="false">-J47*(Premissas!$B$70*Premissas!$C$34/Premissas!$B$6+Premissas!$B$75)*Premissas!$C$33*J52</f>
        <v>-1617411.75031818</v>
      </c>
      <c r="K58" s="36" t="n">
        <f aca="false">-K47*(Premissas!$B$70*Premissas!$C$34/Premissas!$B$6+Premissas!$B$75)*Premissas!$C$33*K52</f>
        <v>-1665934.10282773</v>
      </c>
      <c r="L58" s="36" t="n">
        <f aca="false">-L47*(Premissas!$B$70*Premissas!$C$34/Premissas!$B$6+Premissas!$B$75)*Premissas!$C$33*L52</f>
        <v>-1715912.12591256</v>
      </c>
      <c r="M58" s="36" t="n">
        <f aca="false">-M47*(Premissas!$B$70*Premissas!$C$34/Premissas!$B$6+Premissas!$B$75)*Premissas!$C$33*M52</f>
        <v>-1767389.48968994</v>
      </c>
      <c r="N58" s="36" t="n">
        <f aca="false">-N47*(Premissas!$B$70*Premissas!$C$34/Premissas!$B$6+Premissas!$B$75)*Premissas!$C$33*N52</f>
        <v>-1820411.17438063</v>
      </c>
      <c r="O58" s="36" t="n">
        <f aca="false">-O47*(Premissas!$B$70*Premissas!$C$34/Premissas!$B$6+Premissas!$B$75)*Premissas!$C$33*O52</f>
        <v>-1875023.50961205</v>
      </c>
      <c r="P58" s="3"/>
    </row>
    <row r="59" customFormat="false" ht="15" hidden="false" customHeight="false" outlineLevel="0" collapsed="false">
      <c r="A59" s="3"/>
      <c r="B59" s="4" t="s">
        <v>411</v>
      </c>
      <c r="C59" s="36" t="n">
        <f aca="false">-IF(C$46&gt;=1,Premissas!$B$68*Premissas!$C$33*C52,0)</f>
        <v>-0</v>
      </c>
      <c r="D59" s="36" t="n">
        <f aca="false">-IF(D$46&gt;=1,Premissas!$B$68*Premissas!$C$33*D52,0)</f>
        <v>-0</v>
      </c>
      <c r="E59" s="36" t="n">
        <f aca="false">-IF(E$46&gt;=1,Premissas!$B$68*Premissas!$C$33*E52,0)</f>
        <v>-0</v>
      </c>
      <c r="F59" s="36" t="n">
        <f aca="false">-IF(F$46&gt;=1,Premissas!$B$68*Premissas!$C$33*F52,0)</f>
        <v>-3394172</v>
      </c>
      <c r="G59" s="36" t="n">
        <f aca="false">-IF(G$46&gt;=1,Premissas!$B$68*Premissas!$C$33*G52,0)</f>
        <v>-3495997.16</v>
      </c>
      <c r="H59" s="36" t="n">
        <f aca="false">-IF(H$46&gt;=1,Premissas!$B$68*Premissas!$C$33*H52,0)</f>
        <v>-3600877.0748</v>
      </c>
      <c r="I59" s="36" t="n">
        <f aca="false">-IF(I$46&gt;=1,Premissas!$B$68*Premissas!$C$33*I52,0)</f>
        <v>-3708903.387044</v>
      </c>
      <c r="J59" s="36" t="n">
        <f aca="false">-IF(J$46&gt;=1,Premissas!$B$68*Premissas!$C$33*J52,0)</f>
        <v>-3820170.48865532</v>
      </c>
      <c r="K59" s="36" t="n">
        <f aca="false">-IF(K$46&gt;=1,Premissas!$B$68*Premissas!$C$33*K52,0)</f>
        <v>-3934775.60331498</v>
      </c>
      <c r="L59" s="36" t="n">
        <f aca="false">-IF(L$46&gt;=1,Premissas!$B$68*Premissas!$C$33*L52,0)</f>
        <v>-4052818.87141443</v>
      </c>
      <c r="M59" s="36" t="n">
        <f aca="false">-IF(M$46&gt;=1,Premissas!$B$68*Premissas!$C$33*M52,0)</f>
        <v>-4174403.43755686</v>
      </c>
      <c r="N59" s="36" t="n">
        <f aca="false">-IF(N$46&gt;=1,Premissas!$B$68*Premissas!$C$33*N52,0)</f>
        <v>-4299635.54068357</v>
      </c>
      <c r="O59" s="36" t="n">
        <f aca="false">-IF(O$46&gt;=1,Premissas!$B$68*Premissas!$C$33*O52,0)</f>
        <v>-4428624.60690408</v>
      </c>
      <c r="P59" s="3"/>
    </row>
    <row r="60" customFormat="false" ht="15" hidden="false" customHeight="false" outlineLevel="0" collapsed="false">
      <c r="A60" s="3"/>
      <c r="B60" s="14" t="s">
        <v>412</v>
      </c>
      <c r="C60" s="33" t="n">
        <f aca="false">C57+C58+C59</f>
        <v>0</v>
      </c>
      <c r="D60" s="33" t="n">
        <f aca="false">D57+D58+D59</f>
        <v>0</v>
      </c>
      <c r="E60" s="33" t="n">
        <f aca="false">E57+E58+E59</f>
        <v>0</v>
      </c>
      <c r="F60" s="33" t="n">
        <f aca="false">F57+F58+F59</f>
        <v>1455928.0173913</v>
      </c>
      <c r="G60" s="33" t="n">
        <f aca="false">G57+G58+G59</f>
        <v>2305441.96695652</v>
      </c>
      <c r="H60" s="33" t="n">
        <f aca="false">H57+H58+H59</f>
        <v>2338197.22596522</v>
      </c>
      <c r="I60" s="33" t="n">
        <f aca="false">I57+I58+I59</f>
        <v>2371024.94274417</v>
      </c>
      <c r="J60" s="33" t="n">
        <f aca="false">J57+J58+J59</f>
        <v>2403904.5360265</v>
      </c>
      <c r="K60" s="33" t="n">
        <f aca="false">K57+K58+K59</f>
        <v>2436814.23823229</v>
      </c>
      <c r="L60" s="33" t="n">
        <f aca="false">L57+L58+L59</f>
        <v>2469731.04565738</v>
      </c>
      <c r="M60" s="33" t="n">
        <f aca="false">M57+M58+M59</f>
        <v>2502630.66681218</v>
      </c>
      <c r="N60" s="33" t="n">
        <f aca="false">N57+N58+N59</f>
        <v>2535487.46884625</v>
      </c>
      <c r="O60" s="33" t="n">
        <f aca="false">O57+O58+O59</f>
        <v>2568274.42199209</v>
      </c>
      <c r="P60" s="3"/>
    </row>
    <row r="61" customFormat="false" ht="15" hidden="false" customHeight="false" outlineLevel="0" collapsed="false">
      <c r="A61" s="3"/>
      <c r="B61" s="4" t="s">
        <v>413</v>
      </c>
      <c r="C61" s="42" t="n">
        <f aca="false">IF(C57=0,0,C60/C57)</f>
        <v>0</v>
      </c>
      <c r="D61" s="42" t="n">
        <f aca="false">IF(D57=0,0,D60/D57)</f>
        <v>0</v>
      </c>
      <c r="E61" s="42" t="n">
        <f aca="false">IF(E57=0,0,E60/E57)</f>
        <v>0</v>
      </c>
      <c r="F61" s="42" t="n">
        <f aca="false">IF(F57=0,0,F60/F57)</f>
        <v>0.239793454071239</v>
      </c>
      <c r="G61" s="42" t="n">
        <f aca="false">IF(G57=0,0,G60/G57)</f>
        <v>0.316612003811871</v>
      </c>
      <c r="H61" s="42" t="n">
        <f aca="false">IF(H57=0,0,H60/H57)</f>
        <v>0.313278403830466</v>
      </c>
      <c r="I61" s="42" t="n">
        <f aca="false">IF(I57=0,0,I60/I57)</f>
        <v>0.309928542385736</v>
      </c>
      <c r="J61" s="42" t="n">
        <f aca="false">IF(J57=0,0,J60/J57)</f>
        <v>0.306562340153471</v>
      </c>
      <c r="K61" s="42" t="n">
        <f aca="false">IF(K57=0,0,K60/K57)</f>
        <v>0.303179717422513</v>
      </c>
      <c r="L61" s="42" t="n">
        <f aca="false">IF(L57=0,0,L60/L57)</f>
        <v>0.299780594092866</v>
      </c>
      <c r="M61" s="42" t="n">
        <f aca="false">IF(M57=0,0,M60/M57)</f>
        <v>0.296364889673807</v>
      </c>
      <c r="N61" s="42" t="n">
        <f aca="false">IF(N57=0,0,N60/N57)</f>
        <v>0.292932523281972</v>
      </c>
      <c r="O61" s="42" t="n">
        <f aca="false">IF(O57=0,0,O60/O57)</f>
        <v>0.289483413639445</v>
      </c>
      <c r="P61" s="3"/>
    </row>
    <row r="62" customFormat="false" ht="15" hidden="false" customHeight="false" outlineLevel="0" collapsed="false">
      <c r="A62" s="3"/>
      <c r="B62" s="4" t="s">
        <v>414</v>
      </c>
      <c r="C62" s="36" t="n">
        <f aca="false">-IF(C$46&gt;=1,Premissas!$B$52*(1-Premissas!$C$35)/10,0)</f>
        <v>-0</v>
      </c>
      <c r="D62" s="36" t="n">
        <f aca="false">-IF(D$46&gt;=1,Premissas!$B$52*(1-Premissas!$C$35)/10,0)</f>
        <v>-0</v>
      </c>
      <c r="E62" s="36" t="n">
        <f aca="false">-IF(E$46&gt;=1,Premissas!$B$52*(1-Premissas!$C$35)/10,0)</f>
        <v>-0</v>
      </c>
      <c r="F62" s="36" t="n">
        <f aca="false">-IF(F$46&gt;=1,Premissas!$B$52*(1-Premissas!$C$35)/10,0)</f>
        <v>-2146905</v>
      </c>
      <c r="G62" s="36" t="n">
        <f aca="false">-IF(G$46&gt;=1,Premissas!$B$52*(1-Premissas!$C$35)/10,0)</f>
        <v>-2146905</v>
      </c>
      <c r="H62" s="36" t="n">
        <f aca="false">-IF(H$46&gt;=1,Premissas!$B$52*(1-Premissas!$C$35)/10,0)</f>
        <v>-2146905</v>
      </c>
      <c r="I62" s="36" t="n">
        <f aca="false">-IF(I$46&gt;=1,Premissas!$B$52*(1-Premissas!$C$35)/10,0)</f>
        <v>-2146905</v>
      </c>
      <c r="J62" s="36" t="n">
        <f aca="false">-IF(J$46&gt;=1,Premissas!$B$52*(1-Premissas!$C$35)/10,0)</f>
        <v>-2146905</v>
      </c>
      <c r="K62" s="36" t="n">
        <f aca="false">-IF(K$46&gt;=1,Premissas!$B$52*(1-Premissas!$C$35)/10,0)</f>
        <v>-2146905</v>
      </c>
      <c r="L62" s="36" t="n">
        <f aca="false">-IF(L$46&gt;=1,Premissas!$B$52*(1-Premissas!$C$35)/10,0)</f>
        <v>-2146905</v>
      </c>
      <c r="M62" s="36" t="n">
        <f aca="false">-IF(M$46&gt;=1,Premissas!$B$52*(1-Premissas!$C$35)/10,0)</f>
        <v>-2146905</v>
      </c>
      <c r="N62" s="36" t="n">
        <f aca="false">-IF(N$46&gt;=1,Premissas!$B$52*(1-Premissas!$C$35)/10,0)</f>
        <v>-2146905</v>
      </c>
      <c r="O62" s="36" t="n">
        <f aca="false">-IF(O$46&gt;=1,Premissas!$B$52*(1-Premissas!$C$35)/10,0)</f>
        <v>-2146905</v>
      </c>
      <c r="P62" s="3"/>
    </row>
    <row r="63" customFormat="false" ht="15" hidden="false" customHeight="false" outlineLevel="0" collapsed="false">
      <c r="A63" s="3"/>
      <c r="B63" s="14" t="s">
        <v>415</v>
      </c>
      <c r="C63" s="40" t="n">
        <f aca="false">C60+C62</f>
        <v>0</v>
      </c>
      <c r="D63" s="40" t="n">
        <f aca="false">D60+D62</f>
        <v>0</v>
      </c>
      <c r="E63" s="40" t="n">
        <f aca="false">E60+E62</f>
        <v>0</v>
      </c>
      <c r="F63" s="40" t="n">
        <f aca="false">F60+F62</f>
        <v>-690976.982608695</v>
      </c>
      <c r="G63" s="40" t="n">
        <f aca="false">G60+G62</f>
        <v>158536.966956521</v>
      </c>
      <c r="H63" s="40" t="n">
        <f aca="false">H60+H62</f>
        <v>191292.225965218</v>
      </c>
      <c r="I63" s="40" t="n">
        <f aca="false">I60+I62</f>
        <v>224119.942744171</v>
      </c>
      <c r="J63" s="40" t="n">
        <f aca="false">J60+J62</f>
        <v>256999.536026496</v>
      </c>
      <c r="K63" s="40" t="n">
        <f aca="false">K60+K62</f>
        <v>289909.23823229</v>
      </c>
      <c r="L63" s="40" t="n">
        <f aca="false">L60+L62</f>
        <v>322826.045657383</v>
      </c>
      <c r="M63" s="40" t="n">
        <f aca="false">M60+M62</f>
        <v>355725.666812182</v>
      </c>
      <c r="N63" s="40" t="n">
        <f aca="false">N60+N62</f>
        <v>388582.468846251</v>
      </c>
      <c r="O63" s="40" t="n">
        <f aca="false">O60+O62</f>
        <v>421369.421992086</v>
      </c>
      <c r="P63" s="3"/>
    </row>
    <row r="64" customFormat="false" ht="15" hidden="false" customHeight="false" outlineLevel="0" collapsed="false">
      <c r="A64" s="3"/>
      <c r="B64" s="4" t="s">
        <v>416</v>
      </c>
      <c r="C64" s="36" t="n">
        <f aca="false">-MAX(0,C63)*Premissas!$B$11</f>
        <v>-0</v>
      </c>
      <c r="D64" s="36" t="n">
        <f aca="false">-MAX(0,D63)*Premissas!$B$11</f>
        <v>-0</v>
      </c>
      <c r="E64" s="36" t="n">
        <f aca="false">-MAX(0,E63)*Premissas!$B$11</f>
        <v>-0</v>
      </c>
      <c r="F64" s="36" t="n">
        <f aca="false">-MAX(0,F63)*Premissas!$B$11</f>
        <v>-0</v>
      </c>
      <c r="G64" s="36" t="n">
        <f aca="false">-MAX(0,G63)*Premissas!$B$11</f>
        <v>-53902.5687652171</v>
      </c>
      <c r="H64" s="36" t="n">
        <f aca="false">-MAX(0,H63)*Premissas!$B$11</f>
        <v>-65039.356828174</v>
      </c>
      <c r="I64" s="36" t="n">
        <f aca="false">-MAX(0,I63)*Premissas!$B$11</f>
        <v>-76200.7805330182</v>
      </c>
      <c r="J64" s="36" t="n">
        <f aca="false">-MAX(0,J63)*Premissas!$B$11</f>
        <v>-87379.8422490086</v>
      </c>
      <c r="K64" s="36" t="n">
        <f aca="false">-MAX(0,K63)*Premissas!$B$11</f>
        <v>-98569.1409989786</v>
      </c>
      <c r="L64" s="36" t="n">
        <f aca="false">-MAX(0,L63)*Premissas!$B$11</f>
        <v>-109760.85552351</v>
      </c>
      <c r="M64" s="36" t="n">
        <f aca="false">-MAX(0,M63)*Premissas!$B$11</f>
        <v>-120946.726716142</v>
      </c>
      <c r="N64" s="36" t="n">
        <f aca="false">-MAX(0,N63)*Premissas!$B$11</f>
        <v>-132118.039407725</v>
      </c>
      <c r="O64" s="36" t="n">
        <f aca="false">-MAX(0,O63)*Premissas!$B$11</f>
        <v>-143265.603477309</v>
      </c>
      <c r="P64" s="3"/>
    </row>
    <row r="65" customFormat="false" ht="15" hidden="false" customHeight="false" outlineLevel="0" collapsed="false">
      <c r="A65" s="3"/>
      <c r="B65" s="4" t="s">
        <v>417</v>
      </c>
      <c r="C65" s="36" t="n">
        <f aca="false">-(IF(C$46=3,Premissas!$B$80,0)+IF(C$46=5,Premissas!$B$81,0)+IF(C$46=8,Premissas!$B$82,0)+IF(C$46=10,Premissas!$B$83,0))*C52</f>
        <v>-0</v>
      </c>
      <c r="D65" s="36" t="n">
        <f aca="false">-(IF(D$46=3,Premissas!$B$80,0)+IF(D$46=5,Premissas!$B$81,0)+IF(D$46=8,Premissas!$B$82,0)+IF(D$46=10,Premissas!$B$83,0))*D52</f>
        <v>-0</v>
      </c>
      <c r="E65" s="36" t="n">
        <f aca="false">-(IF(E$46=3,Premissas!$B$80,0)+IF(E$46=5,Premissas!$B$81,0)+IF(E$46=8,Premissas!$B$82,0)+IF(E$46=10,Premissas!$B$83,0))*E52</f>
        <v>-0</v>
      </c>
      <c r="F65" s="36" t="n">
        <f aca="false">-(IF(F$46=3,Premissas!$B$80,0)+IF(F$46=5,Premissas!$B$81,0)+IF(F$46=8,Premissas!$B$82,0)+IF(F$46=10,Premissas!$B$83,0))*F52</f>
        <v>-0</v>
      </c>
      <c r="G65" s="36" t="n">
        <f aca="false">-(IF(G$46=3,Premissas!$B$80,0)+IF(G$46=5,Premissas!$B$81,0)+IF(G$46=8,Premissas!$B$82,0)+IF(G$46=10,Premissas!$B$83,0))*G52</f>
        <v>-0</v>
      </c>
      <c r="H65" s="36" t="n">
        <f aca="false">-(IF(H$46=3,Premissas!$B$80,0)+IF(H$46=5,Premissas!$B$81,0)+IF(H$46=8,Premissas!$B$82,0)+IF(H$46=10,Premissas!$B$83,0))*H52</f>
        <v>-371315</v>
      </c>
      <c r="I65" s="36" t="n">
        <f aca="false">-(IF(I$46=3,Premissas!$B$80,0)+IF(I$46=5,Premissas!$B$81,0)+IF(I$46=8,Premissas!$B$82,0)+IF(I$46=10,Premissas!$B$83,0))*I52</f>
        <v>-0</v>
      </c>
      <c r="J65" s="36" t="n">
        <f aca="false">-(IF(J$46=3,Premissas!$B$80,0)+IF(J$46=5,Premissas!$B$81,0)+IF(J$46=8,Premissas!$B$82,0)+IF(J$46=10,Premissas!$B$83,0))*J52</f>
        <v>-900407.048</v>
      </c>
      <c r="K65" s="36" t="n">
        <f aca="false">-(IF(K$46=3,Premissas!$B$80,0)+IF(K$46=5,Premissas!$B$81,0)+IF(K$46=8,Premissas!$B$82,0)+IF(K$46=10,Premissas!$B$83,0))*K52</f>
        <v>-0</v>
      </c>
      <c r="L65" s="36" t="n">
        <f aca="false">-(IF(L$46=3,Premissas!$B$80,0)+IF(L$46=5,Premissas!$B$81,0)+IF(L$46=8,Premissas!$B$82,0)+IF(L$46=10,Premissas!$B$83,0))*L52</f>
        <v>-0</v>
      </c>
      <c r="M65" s="36" t="n">
        <f aca="false">-(IF(M$46=3,Premissas!$B$80,0)+IF(M$46=5,Premissas!$B$81,0)+IF(M$46=8,Premissas!$B$82,0)+IF(M$46=10,Premissas!$B$83,0))*M52</f>
        <v>-491949.546169948</v>
      </c>
      <c r="N65" s="36" t="n">
        <f aca="false">-(IF(N$46=3,Premissas!$B$80,0)+IF(N$46=5,Premissas!$B$81,0)+IF(N$46=8,Premissas!$B$82,0)+IF(N$46=10,Premissas!$B$83,0))*N52</f>
        <v>-0</v>
      </c>
      <c r="O65" s="36" t="n">
        <f aca="false">-(IF(O$46=3,Premissas!$B$80,0)+IF(O$46=5,Premissas!$B$81,0)+IF(O$46=8,Premissas!$B$82,0)+IF(O$46=10,Premissas!$B$83,0))*O52</f>
        <v>-1304773.18382925</v>
      </c>
      <c r="P65" s="3"/>
    </row>
    <row r="66" customFormat="false" ht="15" hidden="false" customHeight="false" outlineLevel="0" collapsed="false">
      <c r="A66" s="3"/>
      <c r="B66" s="4" t="s">
        <v>418</v>
      </c>
      <c r="C66" s="36" t="n">
        <f aca="false">-IF(C$46&gt;=1,Premissas!$B$52*(Premissas!$B$84+IF(C$46=6,Premissas!$B$85,0))*C52,0)</f>
        <v>-0</v>
      </c>
      <c r="D66" s="36" t="n">
        <f aca="false">-IF(D$46&gt;=1,Premissas!$B$52*(Premissas!$B$84+IF(D$46=6,Premissas!$B$85,0))*D52,0)</f>
        <v>-0</v>
      </c>
      <c r="E66" s="36" t="n">
        <f aca="false">-IF(E$46&gt;=1,Premissas!$B$52*(Premissas!$B$84+IF(E$46=6,Premissas!$B$85,0))*E52,0)</f>
        <v>-0</v>
      </c>
      <c r="F66" s="36" t="n">
        <f aca="false">-IF(F$46&gt;=1,Premissas!$B$52*(Premissas!$B$84+IF(F$46=6,Premissas!$B$85,0))*F52,0)</f>
        <v>-238545</v>
      </c>
      <c r="G66" s="36" t="n">
        <f aca="false">-IF(G$46&gt;=1,Premissas!$B$52*(Premissas!$B$84+IF(G$46=6,Premissas!$B$85,0))*G52,0)</f>
        <v>-245701.35</v>
      </c>
      <c r="H66" s="36" t="n">
        <f aca="false">-IF(H$46&gt;=1,Premissas!$B$52*(Premissas!$B$84+IF(H$46=6,Premissas!$B$85,0))*H52,0)</f>
        <v>-253072.3905</v>
      </c>
      <c r="I66" s="36" t="n">
        <f aca="false">-IF(I$46&gt;=1,Premissas!$B$52*(Premissas!$B$84+IF(I$46=6,Premissas!$B$85,0))*I52,0)</f>
        <v>-260664.562215</v>
      </c>
      <c r="J66" s="36" t="n">
        <f aca="false">-IF(J$46&gt;=1,Premissas!$B$52*(Premissas!$B$84+IF(J$46=6,Premissas!$B$85,0))*J52,0)</f>
        <v>-268484.49908145</v>
      </c>
      <c r="K66" s="36" t="n">
        <f aca="false">-IF(K$46&gt;=1,Premissas!$B$52*(Premissas!$B$84+IF(K$46=6,Premissas!$B$85,0))*K52,0)</f>
        <v>-2488851.30648504</v>
      </c>
      <c r="L66" s="36" t="n">
        <f aca="false">-IF(L$46&gt;=1,Premissas!$B$52*(Premissas!$B$84+IF(L$46=6,Premissas!$B$85,0))*L52,0)</f>
        <v>-284835.20507551</v>
      </c>
      <c r="M66" s="36" t="n">
        <f aca="false">-IF(M$46&gt;=1,Premissas!$B$52*(Premissas!$B$84+IF(M$46=6,Premissas!$B$85,0))*M52,0)</f>
        <v>-293380.261227776</v>
      </c>
      <c r="N66" s="36" t="n">
        <f aca="false">-IF(N$46&gt;=1,Premissas!$B$52*(Premissas!$B$84+IF(N$46=6,Premissas!$B$85,0))*N52,0)</f>
        <v>-302181.669064609</v>
      </c>
      <c r="O66" s="36" t="n">
        <f aca="false">-IF(O$46&gt;=1,Premissas!$B$52*(Premissas!$B$84+IF(O$46=6,Premissas!$B$85,0))*O52,0)</f>
        <v>-311247.119136547</v>
      </c>
      <c r="P66" s="3"/>
    </row>
    <row r="67" customFormat="false" ht="15" hidden="false" customHeight="false" outlineLevel="0" collapsed="false">
      <c r="A67" s="3"/>
      <c r="B67" s="4" t="s">
        <v>419</v>
      </c>
      <c r="C67" s="36" t="n">
        <f aca="false">-Premissas!$B$52*Premissas!$B$53</f>
        <v>-9541800</v>
      </c>
      <c r="D67" s="36" t="n">
        <f aca="false">-Premissas!$B$52*Premissas!$B$54</f>
        <v>-9541800</v>
      </c>
      <c r="E67" s="36" t="n">
        <f aca="false">-Premissas!$B$52*Premissas!$B$55</f>
        <v>-28625400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0</v>
      </c>
      <c r="K67" s="36" t="n">
        <v>0</v>
      </c>
      <c r="L67" s="36" t="n">
        <v>0</v>
      </c>
      <c r="M67" s="36" t="n">
        <v>0</v>
      </c>
      <c r="N67" s="36" t="n">
        <v>0</v>
      </c>
      <c r="O67" s="36" t="n">
        <v>0</v>
      </c>
      <c r="P67" s="3"/>
    </row>
    <row r="68" customFormat="false" ht="15" hidden="false" customHeight="false" outlineLevel="0" collapsed="false">
      <c r="A68" s="3"/>
      <c r="B68" s="4" t="s">
        <v>420</v>
      </c>
      <c r="C68" s="36" t="n">
        <f aca="false">IF(C$46=10,Premissas!$B$52*Premissas!$C$35,0)</f>
        <v>0</v>
      </c>
      <c r="D68" s="36" t="n">
        <f aca="false">IF(D$46=10,Premissas!$B$52*Premissas!$C$35,0)</f>
        <v>0</v>
      </c>
      <c r="E68" s="36" t="n">
        <f aca="false">IF(E$46=10,Premissas!$B$52*Premissas!$C$35,0)</f>
        <v>0</v>
      </c>
      <c r="F68" s="36" t="n">
        <f aca="false">IF(F$46=10,Premissas!$B$52*Premissas!$C$35,0)</f>
        <v>0</v>
      </c>
      <c r="G68" s="36" t="n">
        <f aca="false">IF(G$46=10,Premissas!$B$52*Premissas!$C$35,0)</f>
        <v>0</v>
      </c>
      <c r="H68" s="36" t="n">
        <f aca="false">IF(H$46=10,Premissas!$B$52*Premissas!$C$35,0)</f>
        <v>0</v>
      </c>
      <c r="I68" s="36" t="n">
        <f aca="false">IF(I$46=10,Premissas!$B$52*Premissas!$C$35,0)</f>
        <v>0</v>
      </c>
      <c r="J68" s="36" t="n">
        <f aca="false">IF(J$46=10,Premissas!$B$52*Premissas!$C$35,0)</f>
        <v>0</v>
      </c>
      <c r="K68" s="36" t="n">
        <f aca="false">IF(K$46=10,Premissas!$B$52*Premissas!$C$35,0)</f>
        <v>0</v>
      </c>
      <c r="L68" s="36" t="n">
        <f aca="false">IF(L$46=10,Premissas!$B$52*Premissas!$C$35,0)</f>
        <v>0</v>
      </c>
      <c r="M68" s="36" t="n">
        <f aca="false">IF(M$46=10,Premissas!$B$52*Premissas!$C$35,0)</f>
        <v>0</v>
      </c>
      <c r="N68" s="36" t="n">
        <f aca="false">IF(N$46=10,Premissas!$B$52*Premissas!$C$35,0)</f>
        <v>0</v>
      </c>
      <c r="O68" s="36" t="n">
        <f aca="false">IF(O$46=10,Premissas!$B$52*Premissas!$C$35,0)</f>
        <v>26239950</v>
      </c>
      <c r="P68" s="3"/>
    </row>
    <row r="69" customFormat="false" ht="15" hidden="false" customHeight="false" outlineLevel="0" collapsed="false">
      <c r="A69" s="3"/>
      <c r="B69" s="14" t="s">
        <v>421</v>
      </c>
      <c r="C69" s="33" t="n">
        <f aca="false">C60+C64+C65+C66+C67+C68</f>
        <v>-9541800</v>
      </c>
      <c r="D69" s="33" t="n">
        <f aca="false">D60+D64+D65+D66+D67+D68</f>
        <v>-9541800</v>
      </c>
      <c r="E69" s="33" t="n">
        <f aca="false">E60+E64+E65+E66+E67+E68</f>
        <v>-28625400</v>
      </c>
      <c r="F69" s="33" t="n">
        <f aca="false">F60+F64+F65+F66+F67+F68</f>
        <v>1217383.0173913</v>
      </c>
      <c r="G69" s="33" t="n">
        <f aca="false">G60+G64+G65+G66+G67+G68</f>
        <v>2005838.0481913</v>
      </c>
      <c r="H69" s="33" t="n">
        <f aca="false">H60+H64+H65+H66+H67+H68</f>
        <v>1648770.47863704</v>
      </c>
      <c r="I69" s="33" t="n">
        <f aca="false">I60+I64+I65+I66+I67+I68</f>
        <v>2034159.59999615</v>
      </c>
      <c r="J69" s="33" t="n">
        <f aca="false">J60+J64+J65+J66+J67+J68</f>
        <v>1147633.14669604</v>
      </c>
      <c r="K69" s="33" t="n">
        <f aca="false">K60+K64+K65+K66+K67+K68</f>
        <v>-150606.209251731</v>
      </c>
      <c r="L69" s="33" t="n">
        <f aca="false">L60+L64+L65+L66+L67+L68</f>
        <v>2075134.98505836</v>
      </c>
      <c r="M69" s="33" t="n">
        <f aca="false">M60+M64+M65+M66+M67+M68</f>
        <v>1596354.13269832</v>
      </c>
      <c r="N69" s="33" t="n">
        <f aca="false">N60+N64+N65+N66+N67+N68</f>
        <v>2101187.76037392</v>
      </c>
      <c r="O69" s="33" t="n">
        <f aca="false">O60+O64+O65+O66+O67+O68</f>
        <v>27048938.515549</v>
      </c>
      <c r="P69" s="3"/>
    </row>
    <row r="70" customFormat="false" ht="15" hidden="false" customHeight="false" outlineLevel="0" collapsed="false">
      <c r="A70" s="3"/>
      <c r="B70" s="4" t="s">
        <v>422</v>
      </c>
      <c r="C70" s="36" t="n">
        <f aca="false">C69-C68</f>
        <v>-9541800</v>
      </c>
      <c r="D70" s="36" t="n">
        <f aca="false">C70+D69-D68</f>
        <v>-19083600</v>
      </c>
      <c r="E70" s="36" t="n">
        <f aca="false">D70+E69-E68</f>
        <v>-47709000</v>
      </c>
      <c r="F70" s="36" t="n">
        <f aca="false">E70+F69-F68</f>
        <v>-46491616.9826087</v>
      </c>
      <c r="G70" s="36" t="n">
        <f aca="false">F70+G69-G68</f>
        <v>-44485778.9344174</v>
      </c>
      <c r="H70" s="36" t="n">
        <f aca="false">G70+H69-H68</f>
        <v>-42837008.4557804</v>
      </c>
      <c r="I70" s="36" t="n">
        <f aca="false">H70+I69-I68</f>
        <v>-40802848.8557842</v>
      </c>
      <c r="J70" s="36" t="n">
        <f aca="false">I70+J69-J68</f>
        <v>-39655215.7090882</v>
      </c>
      <c r="K70" s="36" t="n">
        <f aca="false">J70+K69-K68</f>
        <v>-39805821.9183399</v>
      </c>
      <c r="L70" s="36" t="n">
        <f aca="false">K70+L69-L68</f>
        <v>-37730686.9332815</v>
      </c>
      <c r="M70" s="36" t="n">
        <f aca="false">L70+M69-M68</f>
        <v>-36134332.8005832</v>
      </c>
      <c r="N70" s="36" t="n">
        <f aca="false">M70+N69-N68</f>
        <v>-34033145.0402093</v>
      </c>
      <c r="O70" s="36" t="n">
        <f aca="false">N70+O69-O68</f>
        <v>-33224156.5246603</v>
      </c>
      <c r="P70" s="3"/>
    </row>
    <row r="71" customFormat="false" ht="15" hidden="false" customHeight="false" outlineLevel="0" collapsed="false">
      <c r="A71" s="3"/>
      <c r="B71" s="6" t="s">
        <v>423</v>
      </c>
      <c r="C71" s="46" t="n">
        <v>0</v>
      </c>
      <c r="D71" s="46" t="n">
        <v>0</v>
      </c>
      <c r="E71" s="46" t="n">
        <v>0</v>
      </c>
      <c r="F71" s="46" t="n">
        <f aca="false">IF(AND(E70&lt;0,F70&gt;=0),F$46-1+(-E70)/(F69-F68),0)</f>
        <v>0</v>
      </c>
      <c r="G71" s="46" t="n">
        <f aca="false">IF(AND(F70&lt;0,G70&gt;=0),G$46-1+(-F70)/(G69-G68),0)</f>
        <v>0</v>
      </c>
      <c r="H71" s="46" t="n">
        <f aca="false">IF(AND(G70&lt;0,H70&gt;=0),H$46-1+(-G70)/(H69-H68),0)</f>
        <v>0</v>
      </c>
      <c r="I71" s="46" t="n">
        <f aca="false">IF(AND(H70&lt;0,I70&gt;=0),I$46-1+(-H70)/(I69-I68),0)</f>
        <v>0</v>
      </c>
      <c r="J71" s="46" t="n">
        <f aca="false">IF(AND(I70&lt;0,J70&gt;=0),J$46-1+(-I70)/(J69-J68),0)</f>
        <v>0</v>
      </c>
      <c r="K71" s="46" t="n">
        <f aca="false">IF(AND(J70&lt;0,K70&gt;=0),K$46-1+(-J70)/(K69-K68),0)</f>
        <v>0</v>
      </c>
      <c r="L71" s="46" t="n">
        <f aca="false">IF(AND(K70&lt;0,L70&gt;=0),L$46-1+(-K70)/(L69-L68),0)</f>
        <v>0</v>
      </c>
      <c r="M71" s="46" t="n">
        <f aca="false">IF(AND(L70&lt;0,M70&gt;=0),M$46-1+(-L70)/(M69-M68),0)</f>
        <v>0</v>
      </c>
      <c r="N71" s="46" t="n">
        <f aca="false">IF(AND(M70&lt;0,N70&gt;=0),N$46-1+(-M70)/(N69-N68),0)</f>
        <v>0</v>
      </c>
      <c r="O71" s="46" t="n">
        <f aca="false">IF(AND(N70&lt;0,O70&gt;=0),O$46-1+(-N70)/(O69-O68),0)</f>
        <v>0</v>
      </c>
      <c r="P71" s="3"/>
    </row>
    <row r="72" customFormat="false" ht="15" hidden="false" customHeight="false" outlineLevel="0" collapsed="false">
      <c r="A72" s="3"/>
      <c r="B72" s="14" t="s">
        <v>424</v>
      </c>
      <c r="C72" s="47" t="n">
        <f aca="false">IFERROR(IRR(C69:O69,0.05),IFERROR(IRR(C69:O69,-0.05),IF(SUM(C69:O69)&lt;0,"negativa","n/d")))</f>
        <v>-0.0174193225064716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" hidden="false" customHeight="false" outlineLevel="0" collapsed="false">
      <c r="A73" s="3"/>
      <c r="B73" s="14" t="s">
        <v>425</v>
      </c>
      <c r="C73" s="48" t="n">
        <f aca="false">C69*(1+Premissas!$B$10)^2+D69*(1+Premissas!$B$10)+E69+NPV(Premissas!$B$10,F69:O69)</f>
        <v>-31517619.3126261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" hidden="false" customHeight="false" outlineLevel="0" collapsed="false">
      <c r="A74" s="3"/>
      <c r="B74" s="14" t="s">
        <v>426</v>
      </c>
      <c r="C74" s="49" t="str">
        <f aca="false">IF(SUM(F71:O71)=0,"&gt; 10",SUM(F71:O71))</f>
        <v>&gt; 10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" hidden="false" customHeight="false" outlineLevel="0" collapsed="false">
      <c r="A75" s="3"/>
      <c r="B75" s="14" t="s">
        <v>427</v>
      </c>
      <c r="C75" s="47" t="n">
        <f aca="false">SUM(C69:O69)/-SUM(C67:E67)</f>
        <v>-0.146391802902184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" hidden="false" customHeight="false" outlineLevel="0" collapsed="false">
      <c r="A76" s="3"/>
      <c r="B76" s="14" t="s">
        <v>428</v>
      </c>
      <c r="C76" s="47" t="n">
        <f aca="false">AVERAGE(F63:O63)*(1-Premissas!$B$11)/-SUM(C67:E67)</f>
        <v>0.00265386780316455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5" hidden="false" customHeight="false" outlineLevel="0" collapsed="false">
      <c r="A77" s="3"/>
      <c r="B77" s="14" t="s">
        <v>429</v>
      </c>
      <c r="C77" s="48" t="n">
        <f aca="false">H60</f>
        <v>2338197.22596522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" hidden="false" customHeight="false" outlineLevel="0" collapsed="false">
      <c r="A78" s="3"/>
      <c r="B78" s="14" t="s">
        <v>430</v>
      </c>
      <c r="C78" s="48" t="n">
        <f aca="false">H57</f>
        <v>7463640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5" hidden="false" customHeight="false" outlineLevel="0" collapsed="false">
      <c r="A79" s="3"/>
      <c r="B79" s="14" t="s">
        <v>431</v>
      </c>
      <c r="C79" s="47" t="n">
        <f aca="false">H61</f>
        <v>0.313278403830466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5" hidden="false" customHeight="false" outlineLevel="0" collapsed="false">
      <c r="A80" s="3"/>
      <c r="B80" s="14" t="s">
        <v>432</v>
      </c>
      <c r="C80" s="48" t="n">
        <f aca="false">-(H58+H59)</f>
        <v>5125442.77403478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5" hidden="false" customHeight="false" outlineLevel="0" collapsed="false">
      <c r="A81" s="3"/>
      <c r="B81" s="14" t="s">
        <v>433</v>
      </c>
      <c r="C81" s="50" t="n">
        <f aca="false">IFERROR(-H59/((H57+H58)/H47),"n/d")</f>
        <v>15.7638714728215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5" hidden="false" customHeight="false" outlineLevel="0" collapsed="false">
      <c r="A82" s="3"/>
      <c r="B82" s="14" t="s">
        <v>434</v>
      </c>
      <c r="C82" s="48" t="n">
        <f aca="false">-SUM(C67:E67)</f>
        <v>47709000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5" hidden="false" customHeight="false" outlineLevel="0" collapsed="false">
      <c r="A83" s="3"/>
      <c r="B83" s="14" t="s">
        <v>435</v>
      </c>
      <c r="C83" s="48" t="n">
        <f aca="false">O68</f>
        <v>26239950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5" hidden="false" customHeight="false" outlineLevel="0" collapsed="false">
      <c r="A86" s="3"/>
      <c r="B86" s="19" t="s">
        <v>437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" hidden="false" customHeight="false" outlineLevel="0" collapsed="false">
      <c r="A87" s="3"/>
      <c r="B87" s="14" t="s">
        <v>398</v>
      </c>
      <c r="C87" s="44" t="n">
        <v>-2</v>
      </c>
      <c r="D87" s="44" t="n">
        <v>-1</v>
      </c>
      <c r="E87" s="44" t="n">
        <v>0</v>
      </c>
      <c r="F87" s="44" t="n">
        <v>1</v>
      </c>
      <c r="G87" s="44" t="n">
        <v>2</v>
      </c>
      <c r="H87" s="44" t="n">
        <v>3</v>
      </c>
      <c r="I87" s="44" t="n">
        <v>4</v>
      </c>
      <c r="J87" s="44" t="n">
        <v>5</v>
      </c>
      <c r="K87" s="44" t="n">
        <v>6</v>
      </c>
      <c r="L87" s="44" t="n">
        <v>7</v>
      </c>
      <c r="M87" s="44" t="n">
        <v>8</v>
      </c>
      <c r="N87" s="44" t="n">
        <v>9</v>
      </c>
      <c r="O87" s="44" t="n">
        <v>10</v>
      </c>
      <c r="P87" s="3"/>
    </row>
    <row r="88" customFormat="false" ht="15" hidden="false" customHeight="false" outlineLevel="0" collapsed="false">
      <c r="A88" s="3"/>
      <c r="B88" s="4" t="s">
        <v>399</v>
      </c>
      <c r="C88" s="39" t="n">
        <f aca="false">IF(C$87&gt;=1,Premissas!$D$29*IF(C$87=1,Premissas!$D$37,1),0)</f>
        <v>0</v>
      </c>
      <c r="D88" s="39" t="n">
        <f aca="false">IF(D$87&gt;=1,Premissas!$D$29*IF(D$87=1,Premissas!$D$37,1),0)</f>
        <v>0</v>
      </c>
      <c r="E88" s="39" t="n">
        <f aca="false">IF(E$87&gt;=1,Premissas!$D$29*IF(E$87=1,Premissas!$D$37,1),0)</f>
        <v>0</v>
      </c>
      <c r="F88" s="39" t="n">
        <f aca="false">IF(F$87&gt;=1,Premissas!$D$29*IF(F$87=1,Premissas!$D$37,1),0)</f>
        <v>28.5</v>
      </c>
      <c r="G88" s="39" t="n">
        <f aca="false">IF(G$87&gt;=1,Premissas!$D$29*IF(G$87=1,Premissas!$D$37,1),0)</f>
        <v>30</v>
      </c>
      <c r="H88" s="39" t="n">
        <f aca="false">IF(H$87&gt;=1,Premissas!$D$29*IF(H$87=1,Premissas!$D$37,1),0)</f>
        <v>30</v>
      </c>
      <c r="I88" s="39" t="n">
        <f aca="false">IF(I$87&gt;=1,Premissas!$D$29*IF(I$87=1,Premissas!$D$37,1),0)</f>
        <v>30</v>
      </c>
      <c r="J88" s="39" t="n">
        <f aca="false">IF(J$87&gt;=1,Premissas!$D$29*IF(J$87=1,Premissas!$D$37,1),0)</f>
        <v>30</v>
      </c>
      <c r="K88" s="39" t="n">
        <f aca="false">IF(K$87&gt;=1,Premissas!$D$29*IF(K$87=1,Premissas!$D$37,1),0)</f>
        <v>30</v>
      </c>
      <c r="L88" s="39" t="n">
        <f aca="false">IF(L$87&gt;=1,Premissas!$D$29*IF(L$87=1,Premissas!$D$37,1),0)</f>
        <v>30</v>
      </c>
      <c r="M88" s="39" t="n">
        <f aca="false">IF(M$87&gt;=1,Premissas!$D$29*IF(M$87=1,Premissas!$D$37,1),0)</f>
        <v>30</v>
      </c>
      <c r="N88" s="39" t="n">
        <f aca="false">IF(N$87&gt;=1,Premissas!$D$29*IF(N$87=1,Premissas!$D$37,1),0)</f>
        <v>30</v>
      </c>
      <c r="O88" s="39" t="n">
        <f aca="false">IF(O$87&gt;=1,Premissas!$D$29*IF(O$87=1,Premissas!$D$37,1),0)</f>
        <v>30</v>
      </c>
      <c r="P88" s="3"/>
    </row>
    <row r="89" customFormat="false" ht="15" hidden="false" customHeight="false" outlineLevel="0" collapsed="false">
      <c r="A89" s="3"/>
      <c r="B89" s="4" t="s">
        <v>400</v>
      </c>
      <c r="C89" s="39" t="n">
        <f aca="false">MIN(C88,Premissas!$D$30)</f>
        <v>0</v>
      </c>
      <c r="D89" s="39" t="n">
        <f aca="false">MIN(D88,Premissas!$D$30)</f>
        <v>0</v>
      </c>
      <c r="E89" s="39" t="n">
        <f aca="false">MIN(E88,Premissas!$D$30)</f>
        <v>0</v>
      </c>
      <c r="F89" s="39" t="n">
        <f aca="false">MIN(F88,Premissas!$D$30)</f>
        <v>12</v>
      </c>
      <c r="G89" s="39" t="n">
        <f aca="false">MIN(G88,Premissas!$D$30)</f>
        <v>12</v>
      </c>
      <c r="H89" s="39" t="n">
        <f aca="false">MIN(H88,Premissas!$D$30)</f>
        <v>12</v>
      </c>
      <c r="I89" s="39" t="n">
        <f aca="false">MIN(I88,Premissas!$D$30)</f>
        <v>12</v>
      </c>
      <c r="J89" s="39" t="n">
        <f aca="false">MIN(J88,Premissas!$D$30)</f>
        <v>12</v>
      </c>
      <c r="K89" s="39" t="n">
        <f aca="false">MIN(K88,Premissas!$D$30)</f>
        <v>12</v>
      </c>
      <c r="L89" s="39" t="n">
        <f aca="false">MIN(L88,Premissas!$D$30)</f>
        <v>12</v>
      </c>
      <c r="M89" s="39" t="n">
        <f aca="false">MIN(M88,Premissas!$D$30)</f>
        <v>12</v>
      </c>
      <c r="N89" s="39" t="n">
        <f aca="false">MIN(N88,Premissas!$D$30)</f>
        <v>12</v>
      </c>
      <c r="O89" s="39" t="n">
        <f aca="false">MIN(O88,Premissas!$D$30)</f>
        <v>12</v>
      </c>
      <c r="P89" s="3"/>
    </row>
    <row r="90" customFormat="false" ht="15" hidden="false" customHeight="false" outlineLevel="0" collapsed="false">
      <c r="A90" s="3"/>
      <c r="B90" s="4" t="s">
        <v>401</v>
      </c>
      <c r="C90" s="39" t="n">
        <f aca="false">MIN(C88-C89,Premissas!$D$31)</f>
        <v>0</v>
      </c>
      <c r="D90" s="39" t="n">
        <f aca="false">MIN(D88-D89,Premissas!$D$31)</f>
        <v>0</v>
      </c>
      <c r="E90" s="39" t="n">
        <f aca="false">MIN(E88-E89,Premissas!$D$31)</f>
        <v>0</v>
      </c>
      <c r="F90" s="39" t="n">
        <f aca="false">MIN(F88-F89,Premissas!$D$31)</f>
        <v>4</v>
      </c>
      <c r="G90" s="39" t="n">
        <f aca="false">MIN(G88-G89,Premissas!$D$31)</f>
        <v>4</v>
      </c>
      <c r="H90" s="39" t="n">
        <f aca="false">MIN(H88-H89,Premissas!$D$31)</f>
        <v>4</v>
      </c>
      <c r="I90" s="39" t="n">
        <f aca="false">MIN(I88-I89,Premissas!$D$31)</f>
        <v>4</v>
      </c>
      <c r="J90" s="39" t="n">
        <f aca="false">MIN(J88-J89,Premissas!$D$31)</f>
        <v>4</v>
      </c>
      <c r="K90" s="39" t="n">
        <f aca="false">MIN(K88-K89,Premissas!$D$31)</f>
        <v>4</v>
      </c>
      <c r="L90" s="39" t="n">
        <f aca="false">MIN(L88-L89,Premissas!$D$31)</f>
        <v>4</v>
      </c>
      <c r="M90" s="39" t="n">
        <f aca="false">MIN(M88-M89,Premissas!$D$31)</f>
        <v>4</v>
      </c>
      <c r="N90" s="39" t="n">
        <f aca="false">MIN(N88-N89,Premissas!$D$31)</f>
        <v>4</v>
      </c>
      <c r="O90" s="39" t="n">
        <f aca="false">MIN(O88-O89,Premissas!$D$31)</f>
        <v>4</v>
      </c>
      <c r="P90" s="3"/>
    </row>
    <row r="91" customFormat="false" ht="15" hidden="false" customHeight="false" outlineLevel="0" collapsed="false">
      <c r="A91" s="3"/>
      <c r="B91" s="4" t="s">
        <v>402</v>
      </c>
      <c r="C91" s="39" t="n">
        <f aca="false">C88-C89-C90</f>
        <v>0</v>
      </c>
      <c r="D91" s="39" t="n">
        <f aca="false">D88-D89-D90</f>
        <v>0</v>
      </c>
      <c r="E91" s="39" t="n">
        <f aca="false">E88-E89-E90</f>
        <v>0</v>
      </c>
      <c r="F91" s="39" t="n">
        <f aca="false">F88-F89-F90</f>
        <v>12.5</v>
      </c>
      <c r="G91" s="39" t="n">
        <f aca="false">G88-G89-G90</f>
        <v>14</v>
      </c>
      <c r="H91" s="39" t="n">
        <f aca="false">H88-H89-H90</f>
        <v>14</v>
      </c>
      <c r="I91" s="39" t="n">
        <f aca="false">I88-I89-I90</f>
        <v>14</v>
      </c>
      <c r="J91" s="39" t="n">
        <f aca="false">J88-J89-J90</f>
        <v>14</v>
      </c>
      <c r="K91" s="39" t="n">
        <f aca="false">K88-K89-K90</f>
        <v>14</v>
      </c>
      <c r="L91" s="39" t="n">
        <f aca="false">L88-L89-L90</f>
        <v>14</v>
      </c>
      <c r="M91" s="39" t="n">
        <f aca="false">M88-M89-M90</f>
        <v>14</v>
      </c>
      <c r="N91" s="39" t="n">
        <f aca="false">N88-N89-N90</f>
        <v>14</v>
      </c>
      <c r="O91" s="39" t="n">
        <f aca="false">O88-O89-O90</f>
        <v>14</v>
      </c>
      <c r="P91" s="3"/>
    </row>
    <row r="92" customFormat="false" ht="15" hidden="false" customHeight="false" outlineLevel="0" collapsed="false">
      <c r="A92" s="3"/>
      <c r="B92" s="4" t="s">
        <v>403</v>
      </c>
      <c r="C92" s="45" t="n">
        <f aca="false">IF(C$87&gt;=1,(1+Premissas!$B$8)^(C$87-1),0)</f>
        <v>0</v>
      </c>
      <c r="D92" s="45" t="n">
        <f aca="false">IF(D$87&gt;=1,(1+Premissas!$B$8)^(D$87-1),0)</f>
        <v>0</v>
      </c>
      <c r="E92" s="45" t="n">
        <f aca="false">IF(E$87&gt;=1,(1+Premissas!$B$8)^(E$87-1),0)</f>
        <v>0</v>
      </c>
      <c r="F92" s="45" t="n">
        <f aca="false">IF(F$87&gt;=1,(1+Premissas!$B$8)^(F$87-1),0)</f>
        <v>1</v>
      </c>
      <c r="G92" s="45" t="n">
        <f aca="false">IF(G$87&gt;=1,(1+Premissas!$B$8)^(G$87-1),0)</f>
        <v>1.025</v>
      </c>
      <c r="H92" s="45" t="n">
        <f aca="false">IF(H$87&gt;=1,(1+Premissas!$B$8)^(H$87-1),0)</f>
        <v>1.050625</v>
      </c>
      <c r="I92" s="45" t="n">
        <f aca="false">IF(I$87&gt;=1,(1+Premissas!$B$8)^(I$87-1),0)</f>
        <v>1.076890625</v>
      </c>
      <c r="J92" s="45" t="n">
        <f aca="false">IF(J$87&gt;=1,(1+Premissas!$B$8)^(J$87-1),0)</f>
        <v>1.103812890625</v>
      </c>
      <c r="K92" s="45" t="n">
        <f aca="false">IF(K$87&gt;=1,(1+Premissas!$B$8)^(K$87-1),0)</f>
        <v>1.13140821289062</v>
      </c>
      <c r="L92" s="45" t="n">
        <f aca="false">IF(L$87&gt;=1,(1+Premissas!$B$8)^(L$87-1),0)</f>
        <v>1.15969341821289</v>
      </c>
      <c r="M92" s="45" t="n">
        <f aca="false">IF(M$87&gt;=1,(1+Premissas!$B$8)^(M$87-1),0)</f>
        <v>1.18868575366821</v>
      </c>
      <c r="N92" s="45" t="n">
        <f aca="false">IF(N$87&gt;=1,(1+Premissas!$B$8)^(N$87-1),0)</f>
        <v>1.21840289750992</v>
      </c>
      <c r="O92" s="45" t="n">
        <f aca="false">IF(O$87&gt;=1,(1+Premissas!$B$8)^(O$87-1),0)</f>
        <v>1.24886296994767</v>
      </c>
      <c r="P92" s="3"/>
    </row>
    <row r="93" customFormat="false" ht="15" hidden="false" customHeight="false" outlineLevel="0" collapsed="false">
      <c r="A93" s="3"/>
      <c r="B93" s="4" t="s">
        <v>404</v>
      </c>
      <c r="C93" s="45" t="n">
        <f aca="false">IF(C$87&gt;=1,(1+Premissas!$B$9)^(C$87-1),0)</f>
        <v>0</v>
      </c>
      <c r="D93" s="45" t="n">
        <f aca="false">IF(D$87&gt;=1,(1+Premissas!$B$9)^(D$87-1),0)</f>
        <v>0</v>
      </c>
      <c r="E93" s="45" t="n">
        <f aca="false">IF(E$87&gt;=1,(1+Premissas!$B$9)^(E$87-1),0)</f>
        <v>0</v>
      </c>
      <c r="F93" s="45" t="n">
        <f aca="false">IF(F$87&gt;=1,(1+Premissas!$B$9)^(F$87-1),0)</f>
        <v>1</v>
      </c>
      <c r="G93" s="45" t="n">
        <f aca="false">IF(G$87&gt;=1,(1+Premissas!$B$9)^(G$87-1),0)</f>
        <v>1.03</v>
      </c>
      <c r="H93" s="45" t="n">
        <f aca="false">IF(H$87&gt;=1,(1+Premissas!$B$9)^(H$87-1),0)</f>
        <v>1.0609</v>
      </c>
      <c r="I93" s="45" t="n">
        <f aca="false">IF(I$87&gt;=1,(1+Premissas!$B$9)^(I$87-1),0)</f>
        <v>1.092727</v>
      </c>
      <c r="J93" s="45" t="n">
        <f aca="false">IF(J$87&gt;=1,(1+Premissas!$B$9)^(J$87-1),0)</f>
        <v>1.12550881</v>
      </c>
      <c r="K93" s="45" t="n">
        <f aca="false">IF(K$87&gt;=1,(1+Premissas!$B$9)^(K$87-1),0)</f>
        <v>1.1592740743</v>
      </c>
      <c r="L93" s="45" t="n">
        <f aca="false">IF(L$87&gt;=1,(1+Premissas!$B$9)^(L$87-1),0)</f>
        <v>1.194052296529</v>
      </c>
      <c r="M93" s="45" t="n">
        <f aca="false">IF(M$87&gt;=1,(1+Premissas!$B$9)^(M$87-1),0)</f>
        <v>1.22987386542487</v>
      </c>
      <c r="N93" s="45" t="n">
        <f aca="false">IF(N$87&gt;=1,(1+Premissas!$B$9)^(N$87-1),0)</f>
        <v>1.26677008138762</v>
      </c>
      <c r="O93" s="45" t="n">
        <f aca="false">IF(O$87&gt;=1,(1+Premissas!$B$9)^(O$87-1),0)</f>
        <v>1.30477318382925</v>
      </c>
      <c r="P93" s="3"/>
    </row>
    <row r="94" customFormat="false" ht="15" hidden="false" customHeight="false" outlineLevel="0" collapsed="false">
      <c r="A94" s="3"/>
      <c r="B94" s="4" t="s">
        <v>405</v>
      </c>
      <c r="C94" s="36" t="n">
        <f aca="false">C89*Premissas!$B$77*Premissas!$D$32*C92</f>
        <v>0</v>
      </c>
      <c r="D94" s="36" t="n">
        <f aca="false">D89*Premissas!$B$77*Premissas!$D$32*D92</f>
        <v>0</v>
      </c>
      <c r="E94" s="36" t="n">
        <f aca="false">E89*Premissas!$B$77*Premissas!$D$32*E92</f>
        <v>0</v>
      </c>
      <c r="F94" s="36" t="n">
        <f aca="false">F89*Premissas!$B$77*Premissas!$D$32*F92</f>
        <v>3960000</v>
      </c>
      <c r="G94" s="36" t="n">
        <f aca="false">G89*Premissas!$B$77*Premissas!$D$32*G92</f>
        <v>4059000</v>
      </c>
      <c r="H94" s="36" t="n">
        <f aca="false">H89*Premissas!$B$77*Premissas!$D$32*H92</f>
        <v>4160475</v>
      </c>
      <c r="I94" s="36" t="n">
        <f aca="false">I89*Premissas!$B$77*Premissas!$D$32*I92</f>
        <v>4264486.875</v>
      </c>
      <c r="J94" s="36" t="n">
        <f aca="false">J89*Premissas!$B$77*Premissas!$D$32*J92</f>
        <v>4371099.046875</v>
      </c>
      <c r="K94" s="36" t="n">
        <f aca="false">K89*Premissas!$B$77*Premissas!$D$32*K92</f>
        <v>4480376.52304687</v>
      </c>
      <c r="L94" s="36" t="n">
        <f aca="false">L89*Premissas!$B$77*Premissas!$D$32*L92</f>
        <v>4592385.93612305</v>
      </c>
      <c r="M94" s="36" t="n">
        <f aca="false">M89*Premissas!$B$77*Premissas!$D$32*M92</f>
        <v>4707195.58452612</v>
      </c>
      <c r="N94" s="36" t="n">
        <f aca="false">N89*Premissas!$B$77*Premissas!$D$32*N92</f>
        <v>4824875.47413927</v>
      </c>
      <c r="O94" s="36" t="n">
        <f aca="false">O89*Premissas!$B$77*Premissas!$D$32*O92</f>
        <v>4945497.36099276</v>
      </c>
      <c r="P94" s="3"/>
    </row>
    <row r="95" customFormat="false" ht="15" hidden="false" customHeight="false" outlineLevel="0" collapsed="false">
      <c r="A95" s="3"/>
      <c r="B95" s="4" t="s">
        <v>406</v>
      </c>
      <c r="C95" s="36" t="n">
        <f aca="false">C91*Premissas!$B$77*Premissas!$D$32*(1-Premissas!$B$12)*C92</f>
        <v>0</v>
      </c>
      <c r="D95" s="36" t="n">
        <f aca="false">D91*Premissas!$B$77*Premissas!$D$32*(1-Premissas!$B$12)*D92</f>
        <v>0</v>
      </c>
      <c r="E95" s="36" t="n">
        <f aca="false">E91*Premissas!$B$77*Premissas!$D$32*(1-Premissas!$B$12)*E92</f>
        <v>0</v>
      </c>
      <c r="F95" s="36" t="n">
        <f aca="false">F91*Premissas!$B$77*Premissas!$D$32*(1-Premissas!$B$12)*F92</f>
        <v>3506250</v>
      </c>
      <c r="G95" s="36" t="n">
        <f aca="false">G91*Premissas!$B$77*Premissas!$D$32*(1-Premissas!$B$12)*G92</f>
        <v>4025175</v>
      </c>
      <c r="H95" s="36" t="n">
        <f aca="false">H91*Premissas!$B$77*Premissas!$D$32*(1-Premissas!$B$12)*H92</f>
        <v>4125804.375</v>
      </c>
      <c r="I95" s="36" t="n">
        <f aca="false">I91*Premissas!$B$77*Premissas!$D$32*(1-Premissas!$B$12)*I92</f>
        <v>4228949.484375</v>
      </c>
      <c r="J95" s="36" t="n">
        <f aca="false">J91*Premissas!$B$77*Premissas!$D$32*(1-Premissas!$B$12)*J92</f>
        <v>4334673.22148437</v>
      </c>
      <c r="K95" s="36" t="n">
        <f aca="false">K91*Premissas!$B$77*Premissas!$D$32*(1-Premissas!$B$12)*K92</f>
        <v>4443040.05202148</v>
      </c>
      <c r="L95" s="36" t="n">
        <f aca="false">L91*Premissas!$B$77*Premissas!$D$32*(1-Premissas!$B$12)*L92</f>
        <v>4554116.05332202</v>
      </c>
      <c r="M95" s="36" t="n">
        <f aca="false">M91*Premissas!$B$77*Premissas!$D$32*(1-Premissas!$B$12)*M92</f>
        <v>4667968.95465507</v>
      </c>
      <c r="N95" s="36" t="n">
        <f aca="false">N91*Premissas!$B$77*Premissas!$D$32*(1-Premissas!$B$12)*N92</f>
        <v>4784668.17852145</v>
      </c>
      <c r="O95" s="36" t="n">
        <f aca="false">O91*Premissas!$B$77*Premissas!$D$32*(1-Premissas!$B$12)*O92</f>
        <v>4904284.88298448</v>
      </c>
      <c r="P95" s="3"/>
    </row>
    <row r="96" customFormat="false" ht="15" hidden="false" customHeight="false" outlineLevel="0" collapsed="false">
      <c r="A96" s="3"/>
      <c r="B96" s="4" t="s">
        <v>407</v>
      </c>
      <c r="C96" s="36" t="n">
        <f aca="false">C90*Premissas!$B$44*Premissas!$D$38*Premissas!$B$78*Premissas!$D$32*(1-Premissas!$B$12)*C92</f>
        <v>0</v>
      </c>
      <c r="D96" s="36" t="n">
        <f aca="false">D90*Premissas!$B$44*Premissas!$D$38*Premissas!$B$78*Premissas!$D$32*(1-Premissas!$B$12)*D92</f>
        <v>0</v>
      </c>
      <c r="E96" s="36" t="n">
        <f aca="false">E90*Premissas!$B$44*Premissas!$D$38*Premissas!$B$78*Premissas!$D$32*(1-Premissas!$B$12)*E92</f>
        <v>0</v>
      </c>
      <c r="F96" s="36" t="n">
        <f aca="false">F90*Premissas!$B$44*Premissas!$D$38*Premissas!$B$78*Premissas!$D$32*(1-Premissas!$B$12)*F92</f>
        <v>1098662.4</v>
      </c>
      <c r="G96" s="36" t="n">
        <f aca="false">G90*Premissas!$B$44*Premissas!$D$38*Premissas!$B$78*Premissas!$D$32*(1-Premissas!$B$12)*G92</f>
        <v>1126128.96</v>
      </c>
      <c r="H96" s="36" t="n">
        <f aca="false">H90*Premissas!$B$44*Premissas!$D$38*Premissas!$B$78*Premissas!$D$32*(1-Premissas!$B$12)*H92</f>
        <v>1154282.184</v>
      </c>
      <c r="I96" s="36" t="n">
        <f aca="false">I90*Premissas!$B$44*Premissas!$D$38*Premissas!$B$78*Premissas!$D$32*(1-Premissas!$B$12)*I92</f>
        <v>1183139.2386</v>
      </c>
      <c r="J96" s="36" t="n">
        <f aca="false">J90*Premissas!$B$44*Premissas!$D$38*Premissas!$B$78*Premissas!$D$32*(1-Premissas!$B$12)*J92</f>
        <v>1212717.719565</v>
      </c>
      <c r="K96" s="36" t="n">
        <f aca="false">K90*Premissas!$B$44*Premissas!$D$38*Premissas!$B$78*Premissas!$D$32*(1-Premissas!$B$12)*K92</f>
        <v>1243035.66255412</v>
      </c>
      <c r="L96" s="36" t="n">
        <f aca="false">L90*Premissas!$B$44*Premissas!$D$38*Premissas!$B$78*Premissas!$D$32*(1-Premissas!$B$12)*L92</f>
        <v>1274111.55411798</v>
      </c>
      <c r="M96" s="36" t="n">
        <f aca="false">M90*Premissas!$B$44*Premissas!$D$38*Premissas!$B$78*Premissas!$D$32*(1-Premissas!$B$12)*M92</f>
        <v>1305964.34297093</v>
      </c>
      <c r="N96" s="36" t="n">
        <f aca="false">N90*Premissas!$B$44*Premissas!$D$38*Premissas!$B$78*Premissas!$D$32*(1-Premissas!$B$12)*N92</f>
        <v>1338613.4515452</v>
      </c>
      <c r="O96" s="36" t="n">
        <f aca="false">O90*Premissas!$B$44*Premissas!$D$38*Premissas!$B$78*Premissas!$D$32*(1-Premissas!$B$12)*O92</f>
        <v>1372078.78783383</v>
      </c>
      <c r="P96" s="3"/>
    </row>
    <row r="97" customFormat="false" ht="15" hidden="false" customHeight="false" outlineLevel="0" collapsed="false">
      <c r="A97" s="3"/>
      <c r="B97" s="4" t="s">
        <v>408</v>
      </c>
      <c r="C97" s="36" t="n">
        <f aca="false">C88*Premissas!$B$44*Premissas!$B$14*Premissas!$B$13*C92</f>
        <v>0</v>
      </c>
      <c r="D97" s="36" t="n">
        <f aca="false">D88*Premissas!$B$44*Premissas!$B$14*Premissas!$B$13*D92</f>
        <v>0</v>
      </c>
      <c r="E97" s="36" t="n">
        <f aca="false">E88*Premissas!$B$44*Premissas!$B$14*Premissas!$B$13*E92</f>
        <v>0</v>
      </c>
      <c r="F97" s="36" t="n">
        <f aca="false">F88*Premissas!$B$44*Premissas!$B$14*Premissas!$B$13*F92</f>
        <v>277020</v>
      </c>
      <c r="G97" s="36" t="n">
        <f aca="false">G88*Premissas!$B$44*Premissas!$B$14*Premissas!$B$13*G92</f>
        <v>298890</v>
      </c>
      <c r="H97" s="36" t="n">
        <f aca="false">H88*Premissas!$B$44*Premissas!$B$14*Premissas!$B$13*H92</f>
        <v>306362.25</v>
      </c>
      <c r="I97" s="36" t="n">
        <f aca="false">I88*Premissas!$B$44*Premissas!$B$14*Premissas!$B$13*I92</f>
        <v>314021.30625</v>
      </c>
      <c r="J97" s="36" t="n">
        <f aca="false">J88*Premissas!$B$44*Premissas!$B$14*Premissas!$B$13*J92</f>
        <v>321871.83890625</v>
      </c>
      <c r="K97" s="36" t="n">
        <f aca="false">K88*Premissas!$B$44*Premissas!$B$14*Premissas!$B$13*K92</f>
        <v>329918.634878906</v>
      </c>
      <c r="L97" s="36" t="n">
        <f aca="false">L88*Premissas!$B$44*Premissas!$B$14*Premissas!$B$13*L92</f>
        <v>338166.600750879</v>
      </c>
      <c r="M97" s="36" t="n">
        <f aca="false">M88*Premissas!$B$44*Premissas!$B$14*Premissas!$B$13*M92</f>
        <v>346620.765769651</v>
      </c>
      <c r="N97" s="36" t="n">
        <f aca="false">N88*Premissas!$B$44*Premissas!$B$14*Premissas!$B$13*N92</f>
        <v>355286.284913892</v>
      </c>
      <c r="O97" s="36" t="n">
        <f aca="false">O88*Premissas!$B$44*Premissas!$B$14*Premissas!$B$13*O92</f>
        <v>364168.442036739</v>
      </c>
      <c r="P97" s="3"/>
    </row>
    <row r="98" customFormat="false" ht="15" hidden="false" customHeight="false" outlineLevel="0" collapsed="false">
      <c r="A98" s="3"/>
      <c r="B98" s="14" t="s">
        <v>409</v>
      </c>
      <c r="C98" s="33" t="n">
        <f aca="false">SUM(C94:C97)</f>
        <v>0</v>
      </c>
      <c r="D98" s="33" t="n">
        <f aca="false">SUM(D94:D97)</f>
        <v>0</v>
      </c>
      <c r="E98" s="33" t="n">
        <f aca="false">SUM(E94:E97)</f>
        <v>0</v>
      </c>
      <c r="F98" s="33" t="n">
        <f aca="false">SUM(F94:F97)</f>
        <v>8841932.4</v>
      </c>
      <c r="G98" s="33" t="n">
        <f aca="false">SUM(G94:G97)</f>
        <v>9509193.96</v>
      </c>
      <c r="H98" s="33" t="n">
        <f aca="false">SUM(H94:H97)</f>
        <v>9746923.809</v>
      </c>
      <c r="I98" s="33" t="n">
        <f aca="false">SUM(I94:I97)</f>
        <v>9990596.904225</v>
      </c>
      <c r="J98" s="33" t="n">
        <f aca="false">SUM(J94:J97)</f>
        <v>10240361.8268306</v>
      </c>
      <c r="K98" s="33" t="n">
        <f aca="false">SUM(K94:K97)</f>
        <v>10496370.8725014</v>
      </c>
      <c r="L98" s="33" t="n">
        <f aca="false">SUM(L94:L97)</f>
        <v>10758780.1443139</v>
      </c>
      <c r="M98" s="33" t="n">
        <f aca="false">SUM(M94:M97)</f>
        <v>11027749.6479218</v>
      </c>
      <c r="N98" s="33" t="n">
        <f aca="false">SUM(N94:N97)</f>
        <v>11303443.3891198</v>
      </c>
      <c r="O98" s="33" t="n">
        <f aca="false">SUM(O94:O97)</f>
        <v>11586029.4738478</v>
      </c>
      <c r="P98" s="3"/>
    </row>
    <row r="99" customFormat="false" ht="15" hidden="false" customHeight="false" outlineLevel="0" collapsed="false">
      <c r="A99" s="3"/>
      <c r="B99" s="4" t="s">
        <v>410</v>
      </c>
      <c r="C99" s="36" t="n">
        <f aca="false">-C88*(Premissas!$B$70*Premissas!$D$34/Premissas!$B$6+Premissas!$B$75)*Premissas!$D$33*C93</f>
        <v>-0</v>
      </c>
      <c r="D99" s="36" t="n">
        <f aca="false">-D88*(Premissas!$B$70*Premissas!$D$34/Premissas!$B$6+Premissas!$B$75)*Premissas!$D$33*D93</f>
        <v>-0</v>
      </c>
      <c r="E99" s="36" t="n">
        <f aca="false">-E88*(Premissas!$B$70*Premissas!$D$34/Premissas!$B$6+Premissas!$B$75)*Premissas!$D$33*E93</f>
        <v>-0</v>
      </c>
      <c r="F99" s="36" t="n">
        <f aca="false">-F88*(Premissas!$B$70*Premissas!$D$34/Premissas!$B$6+Premissas!$B$75)*Premissas!$D$33*F93</f>
        <v>-1349319.1173913</v>
      </c>
      <c r="G99" s="36" t="n">
        <f aca="false">-G88*(Premissas!$B$70*Premissas!$D$34/Premissas!$B$6+Premissas!$B$75)*Premissas!$D$33*G93</f>
        <v>-1462945.99043478</v>
      </c>
      <c r="H99" s="36" t="n">
        <f aca="false">-H88*(Premissas!$B$70*Premissas!$D$34/Premissas!$B$6+Premissas!$B$75)*Premissas!$D$33*H93</f>
        <v>-1506834.37014783</v>
      </c>
      <c r="I99" s="36" t="n">
        <f aca="false">-I88*(Premissas!$B$70*Premissas!$D$34/Premissas!$B$6+Premissas!$B$75)*Premissas!$D$33*I93</f>
        <v>-1552039.40125226</v>
      </c>
      <c r="J99" s="36" t="n">
        <f aca="false">-J88*(Premissas!$B$70*Premissas!$D$34/Premissas!$B$6+Premissas!$B$75)*Premissas!$D$33*J93</f>
        <v>-1598600.58328983</v>
      </c>
      <c r="K99" s="36" t="n">
        <f aca="false">-K88*(Premissas!$B$70*Premissas!$D$34/Premissas!$B$6+Premissas!$B$75)*Premissas!$D$33*K93</f>
        <v>-1646558.60078852</v>
      </c>
      <c r="L99" s="36" t="n">
        <f aca="false">-L88*(Premissas!$B$70*Premissas!$D$34/Premissas!$B$6+Premissas!$B$75)*Premissas!$D$33*L93</f>
        <v>-1695955.35881218</v>
      </c>
      <c r="M99" s="36" t="n">
        <f aca="false">-M88*(Premissas!$B$70*Premissas!$D$34/Premissas!$B$6+Premissas!$B$75)*Premissas!$D$33*M93</f>
        <v>-1746834.01957654</v>
      </c>
      <c r="N99" s="36" t="n">
        <f aca="false">-N88*(Premissas!$B$70*Premissas!$D$34/Premissas!$B$6+Premissas!$B$75)*Premissas!$D$33*N93</f>
        <v>-1799239.04016384</v>
      </c>
      <c r="O99" s="36" t="n">
        <f aca="false">-O88*(Premissas!$B$70*Premissas!$D$34/Premissas!$B$6+Premissas!$B$75)*Premissas!$D$33*O93</f>
        <v>-1853216.21136876</v>
      </c>
      <c r="P99" s="3"/>
    </row>
    <row r="100" customFormat="false" ht="15" hidden="false" customHeight="false" outlineLevel="0" collapsed="false">
      <c r="A100" s="3"/>
      <c r="B100" s="4" t="s">
        <v>411</v>
      </c>
      <c r="C100" s="36" t="n">
        <f aca="false">-IF(C$87&gt;=1,Premissas!$B$68*Premissas!$D$33*C93,0)</f>
        <v>-0</v>
      </c>
      <c r="D100" s="36" t="n">
        <f aca="false">-IF(D$87&gt;=1,Premissas!$B$68*Premissas!$D$33*D93,0)</f>
        <v>-0</v>
      </c>
      <c r="E100" s="36" t="n">
        <f aca="false">-IF(E$87&gt;=1,Premissas!$B$68*Premissas!$D$33*E93,0)</f>
        <v>-0</v>
      </c>
      <c r="F100" s="36" t="n">
        <f aca="false">-IF(F$87&gt;=1,Premissas!$B$68*Premissas!$D$33*F93,0)</f>
        <v>-3224463.4</v>
      </c>
      <c r="G100" s="36" t="n">
        <f aca="false">-IF(G$87&gt;=1,Premissas!$B$68*Premissas!$D$33*G93,0)</f>
        <v>-3321197.302</v>
      </c>
      <c r="H100" s="36" t="n">
        <f aca="false">-IF(H$87&gt;=1,Premissas!$B$68*Premissas!$D$33*H93,0)</f>
        <v>-3420833.22106</v>
      </c>
      <c r="I100" s="36" t="n">
        <f aca="false">-IF(I$87&gt;=1,Premissas!$B$68*Premissas!$D$33*I93,0)</f>
        <v>-3523458.2176918</v>
      </c>
      <c r="J100" s="36" t="n">
        <f aca="false">-IF(J$87&gt;=1,Premissas!$B$68*Premissas!$D$33*J93,0)</f>
        <v>-3629161.96422255</v>
      </c>
      <c r="K100" s="36" t="n">
        <f aca="false">-IF(K$87&gt;=1,Premissas!$B$68*Premissas!$D$33*K93,0)</f>
        <v>-3738036.82314923</v>
      </c>
      <c r="L100" s="36" t="n">
        <f aca="false">-IF(L$87&gt;=1,Premissas!$B$68*Premissas!$D$33*L93,0)</f>
        <v>-3850177.92784371</v>
      </c>
      <c r="M100" s="36" t="n">
        <f aca="false">-IF(M$87&gt;=1,Premissas!$B$68*Premissas!$D$33*M93,0)</f>
        <v>-3965683.26567902</v>
      </c>
      <c r="N100" s="36" t="n">
        <f aca="false">-IF(N$87&gt;=1,Premissas!$B$68*Premissas!$D$33*N93,0)</f>
        <v>-4084653.76364939</v>
      </c>
      <c r="O100" s="36" t="n">
        <f aca="false">-IF(O$87&gt;=1,Premissas!$B$68*Premissas!$D$33*O93,0)</f>
        <v>-4207193.37655887</v>
      </c>
      <c r="P100" s="3"/>
    </row>
    <row r="101" customFormat="false" ht="15" hidden="false" customHeight="false" outlineLevel="0" collapsed="false">
      <c r="A101" s="3"/>
      <c r="B101" s="14" t="s">
        <v>412</v>
      </c>
      <c r="C101" s="33" t="n">
        <f aca="false">C98+C99+C100</f>
        <v>0</v>
      </c>
      <c r="D101" s="33" t="n">
        <f aca="false">D98+D99+D100</f>
        <v>0</v>
      </c>
      <c r="E101" s="33" t="n">
        <f aca="false">E98+E99+E100</f>
        <v>0</v>
      </c>
      <c r="F101" s="33" t="n">
        <f aca="false">F98+F99+F100</f>
        <v>4268149.8826087</v>
      </c>
      <c r="G101" s="33" t="n">
        <f aca="false">G98+G99+G100</f>
        <v>4725050.66756522</v>
      </c>
      <c r="H101" s="33" t="n">
        <f aca="false">H98+H99+H100</f>
        <v>4819256.21779217</v>
      </c>
      <c r="I101" s="33" t="n">
        <f aca="false">I98+I99+I100</f>
        <v>4915099.28528094</v>
      </c>
      <c r="J101" s="33" t="n">
        <f aca="false">J98+J99+J100</f>
        <v>5012599.27931824</v>
      </c>
      <c r="K101" s="33" t="n">
        <f aca="false">K98+K99+K100</f>
        <v>5111775.44856363</v>
      </c>
      <c r="L101" s="33" t="n">
        <f aca="false">L98+L99+L100</f>
        <v>5212646.85765803</v>
      </c>
      <c r="M101" s="33" t="n">
        <f aca="false">M98+M99+M100</f>
        <v>5315232.36266621</v>
      </c>
      <c r="N101" s="33" t="n">
        <f aca="false">N98+N99+N100</f>
        <v>5419550.58530658</v>
      </c>
      <c r="O101" s="33" t="n">
        <f aca="false">O98+O99+O100</f>
        <v>5525619.88592018</v>
      </c>
      <c r="P101" s="3"/>
    </row>
    <row r="102" customFormat="false" ht="15" hidden="false" customHeight="false" outlineLevel="0" collapsed="false">
      <c r="A102" s="3"/>
      <c r="B102" s="4" t="s">
        <v>413</v>
      </c>
      <c r="C102" s="42" t="n">
        <f aca="false">IF(C98=0,0,C101/C98)</f>
        <v>0</v>
      </c>
      <c r="D102" s="42" t="n">
        <f aca="false">IF(D98=0,0,D101/D98)</f>
        <v>0</v>
      </c>
      <c r="E102" s="42" t="n">
        <f aca="false">IF(E98=0,0,E101/E98)</f>
        <v>0</v>
      </c>
      <c r="F102" s="42" t="n">
        <f aca="false">IF(F98=0,0,F101/F98)</f>
        <v>0.48271686431449</v>
      </c>
      <c r="G102" s="42" t="n">
        <f aca="false">IF(G98=0,0,G101/G98)</f>
        <v>0.496892868884674</v>
      </c>
      <c r="H102" s="42" t="n">
        <f aca="false">IF(H98=0,0,H101/H98)</f>
        <v>0.494438687757283</v>
      </c>
      <c r="I102" s="42" t="n">
        <f aca="false">IF(I98=0,0,I101/I98)</f>
        <v>0.491972535014635</v>
      </c>
      <c r="J102" s="42" t="n">
        <f aca="false">IF(J98=0,0,J101/J98)</f>
        <v>0.489494352258609</v>
      </c>
      <c r="K102" s="42" t="n">
        <f aca="false">IF(K98=0,0,K101/K98)</f>
        <v>0.487004080806212</v>
      </c>
      <c r="L102" s="42" t="n">
        <f aca="false">IF(L98=0,0,L101/L98)</f>
        <v>0.484501661688193</v>
      </c>
      <c r="M102" s="42" t="n">
        <f aca="false">IF(M98=0,0,M101/M98)</f>
        <v>0.481987035647648</v>
      </c>
      <c r="N102" s="42" t="n">
        <f aca="false">IF(N98=0,0,N101/N98)</f>
        <v>0.479460143138612</v>
      </c>
      <c r="O102" s="42" t="n">
        <f aca="false">IF(O98=0,0,O101/O98)</f>
        <v>0.476920924324654</v>
      </c>
      <c r="P102" s="3"/>
    </row>
    <row r="103" customFormat="false" ht="15" hidden="false" customHeight="false" outlineLevel="0" collapsed="false">
      <c r="A103" s="3"/>
      <c r="B103" s="4" t="s">
        <v>414</v>
      </c>
      <c r="C103" s="36" t="n">
        <f aca="false">-IF(C$87&gt;=1,Premissas!$B$52*(1-Premissas!$D$35)/10,0)</f>
        <v>-0</v>
      </c>
      <c r="D103" s="36" t="n">
        <f aca="false">-IF(D$87&gt;=1,Premissas!$B$52*(1-Premissas!$D$35)/10,0)</f>
        <v>-0</v>
      </c>
      <c r="E103" s="36" t="n">
        <f aca="false">-IF(E$87&gt;=1,Premissas!$B$52*(1-Premissas!$D$35)/10,0)</f>
        <v>-0</v>
      </c>
      <c r="F103" s="36" t="n">
        <f aca="false">-IF(F$87&gt;=1,Premissas!$B$52*(1-Premissas!$D$35)/10,0)</f>
        <v>-1669815</v>
      </c>
      <c r="G103" s="36" t="n">
        <f aca="false">-IF(G$87&gt;=1,Premissas!$B$52*(1-Premissas!$D$35)/10,0)</f>
        <v>-1669815</v>
      </c>
      <c r="H103" s="36" t="n">
        <f aca="false">-IF(H$87&gt;=1,Premissas!$B$52*(1-Premissas!$D$35)/10,0)</f>
        <v>-1669815</v>
      </c>
      <c r="I103" s="36" t="n">
        <f aca="false">-IF(I$87&gt;=1,Premissas!$B$52*(1-Premissas!$D$35)/10,0)</f>
        <v>-1669815</v>
      </c>
      <c r="J103" s="36" t="n">
        <f aca="false">-IF(J$87&gt;=1,Premissas!$B$52*(1-Premissas!$D$35)/10,0)</f>
        <v>-1669815</v>
      </c>
      <c r="K103" s="36" t="n">
        <f aca="false">-IF(K$87&gt;=1,Premissas!$B$52*(1-Premissas!$D$35)/10,0)</f>
        <v>-1669815</v>
      </c>
      <c r="L103" s="36" t="n">
        <f aca="false">-IF(L$87&gt;=1,Premissas!$B$52*(1-Premissas!$D$35)/10,0)</f>
        <v>-1669815</v>
      </c>
      <c r="M103" s="36" t="n">
        <f aca="false">-IF(M$87&gt;=1,Premissas!$B$52*(1-Premissas!$D$35)/10,0)</f>
        <v>-1669815</v>
      </c>
      <c r="N103" s="36" t="n">
        <f aca="false">-IF(N$87&gt;=1,Premissas!$B$52*(1-Premissas!$D$35)/10,0)</f>
        <v>-1669815</v>
      </c>
      <c r="O103" s="36" t="n">
        <f aca="false">-IF(O$87&gt;=1,Premissas!$B$52*(1-Premissas!$D$35)/10,0)</f>
        <v>-1669815</v>
      </c>
      <c r="P103" s="3"/>
    </row>
    <row r="104" customFormat="false" ht="15" hidden="false" customHeight="false" outlineLevel="0" collapsed="false">
      <c r="A104" s="3"/>
      <c r="B104" s="14" t="s">
        <v>415</v>
      </c>
      <c r="C104" s="40" t="n">
        <f aca="false">C101+C103</f>
        <v>0</v>
      </c>
      <c r="D104" s="40" t="n">
        <f aca="false">D101+D103</f>
        <v>0</v>
      </c>
      <c r="E104" s="40" t="n">
        <f aca="false">E101+E103</f>
        <v>0</v>
      </c>
      <c r="F104" s="40" t="n">
        <f aca="false">F101+F103</f>
        <v>2598334.8826087</v>
      </c>
      <c r="G104" s="40" t="n">
        <f aca="false">G101+G103</f>
        <v>3055235.66756522</v>
      </c>
      <c r="H104" s="40" t="n">
        <f aca="false">H101+H103</f>
        <v>3149441.21779217</v>
      </c>
      <c r="I104" s="40" t="n">
        <f aca="false">I101+I103</f>
        <v>3245284.28528094</v>
      </c>
      <c r="J104" s="40" t="n">
        <f aca="false">J101+J103</f>
        <v>3342784.27931824</v>
      </c>
      <c r="K104" s="40" t="n">
        <f aca="false">K101+K103</f>
        <v>3441960.44856363</v>
      </c>
      <c r="L104" s="40" t="n">
        <f aca="false">L101+L103</f>
        <v>3542831.85765803</v>
      </c>
      <c r="M104" s="40" t="n">
        <f aca="false">M101+M103</f>
        <v>3645417.36266621</v>
      </c>
      <c r="N104" s="40" t="n">
        <f aca="false">N101+N103</f>
        <v>3749735.58530658</v>
      </c>
      <c r="O104" s="40" t="n">
        <f aca="false">O101+O103</f>
        <v>3855804.88592018</v>
      </c>
      <c r="P104" s="3"/>
    </row>
    <row r="105" customFormat="false" ht="15" hidden="false" customHeight="false" outlineLevel="0" collapsed="false">
      <c r="A105" s="3"/>
      <c r="B105" s="4" t="s">
        <v>416</v>
      </c>
      <c r="C105" s="36" t="n">
        <f aca="false">-MAX(0,C104)*Premissas!$B$11</f>
        <v>-0</v>
      </c>
      <c r="D105" s="36" t="n">
        <f aca="false">-MAX(0,D104)*Premissas!$B$11</f>
        <v>-0</v>
      </c>
      <c r="E105" s="36" t="n">
        <f aca="false">-MAX(0,E104)*Premissas!$B$11</f>
        <v>-0</v>
      </c>
      <c r="F105" s="36" t="n">
        <f aca="false">-MAX(0,F104)*Premissas!$B$11</f>
        <v>-883433.860086957</v>
      </c>
      <c r="G105" s="36" t="n">
        <f aca="false">-MAX(0,G104)*Premissas!$B$11</f>
        <v>-1038780.12697217</v>
      </c>
      <c r="H105" s="36" t="n">
        <f aca="false">-MAX(0,H104)*Premissas!$B$11</f>
        <v>-1070810.01404934</v>
      </c>
      <c r="I105" s="36" t="n">
        <f aca="false">-MAX(0,I104)*Premissas!$B$11</f>
        <v>-1103396.65699552</v>
      </c>
      <c r="J105" s="36" t="n">
        <f aca="false">-MAX(0,J104)*Premissas!$B$11</f>
        <v>-1136546.6549682</v>
      </c>
      <c r="K105" s="36" t="n">
        <f aca="false">-MAX(0,K104)*Premissas!$B$11</f>
        <v>-1170266.55251163</v>
      </c>
      <c r="L105" s="36" t="n">
        <f aca="false">-MAX(0,L104)*Premissas!$B$11</f>
        <v>-1204562.83160373</v>
      </c>
      <c r="M105" s="36" t="n">
        <f aca="false">-MAX(0,M104)*Premissas!$B$11</f>
        <v>-1239441.90330651</v>
      </c>
      <c r="N105" s="36" t="n">
        <f aca="false">-MAX(0,N104)*Premissas!$B$11</f>
        <v>-1274910.09900424</v>
      </c>
      <c r="O105" s="36" t="n">
        <f aca="false">-MAX(0,O104)*Premissas!$B$11</f>
        <v>-1310973.66121286</v>
      </c>
      <c r="P105" s="3"/>
    </row>
    <row r="106" customFormat="false" ht="15" hidden="false" customHeight="false" outlineLevel="0" collapsed="false">
      <c r="A106" s="3"/>
      <c r="B106" s="4" t="s">
        <v>417</v>
      </c>
      <c r="C106" s="36" t="n">
        <f aca="false">-(IF(C$87=3,Premissas!$B$80,0)+IF(C$87=5,Premissas!$B$81,0)+IF(C$87=8,Premissas!$B$82,0)+IF(C$87=10,Premissas!$B$83,0))*C93</f>
        <v>-0</v>
      </c>
      <c r="D106" s="36" t="n">
        <f aca="false">-(IF(D$87=3,Premissas!$B$80,0)+IF(D$87=5,Premissas!$B$81,0)+IF(D$87=8,Premissas!$B$82,0)+IF(D$87=10,Premissas!$B$83,0))*D93</f>
        <v>-0</v>
      </c>
      <c r="E106" s="36" t="n">
        <f aca="false">-(IF(E$87=3,Premissas!$B$80,0)+IF(E$87=5,Premissas!$B$81,0)+IF(E$87=8,Premissas!$B$82,0)+IF(E$87=10,Premissas!$B$83,0))*E93</f>
        <v>-0</v>
      </c>
      <c r="F106" s="36" t="n">
        <f aca="false">-(IF(F$87=3,Premissas!$B$80,0)+IF(F$87=5,Premissas!$B$81,0)+IF(F$87=8,Premissas!$B$82,0)+IF(F$87=10,Premissas!$B$83,0))*F93</f>
        <v>-0</v>
      </c>
      <c r="G106" s="36" t="n">
        <f aca="false">-(IF(G$87=3,Premissas!$B$80,0)+IF(G$87=5,Premissas!$B$81,0)+IF(G$87=8,Premissas!$B$82,0)+IF(G$87=10,Premissas!$B$83,0))*G93</f>
        <v>-0</v>
      </c>
      <c r="H106" s="36" t="n">
        <f aca="false">-(IF(H$87=3,Premissas!$B$80,0)+IF(H$87=5,Premissas!$B$81,0)+IF(H$87=8,Premissas!$B$82,0)+IF(H$87=10,Premissas!$B$83,0))*H93</f>
        <v>-371315</v>
      </c>
      <c r="I106" s="36" t="n">
        <f aca="false">-(IF(I$87=3,Premissas!$B$80,0)+IF(I$87=5,Premissas!$B$81,0)+IF(I$87=8,Premissas!$B$82,0)+IF(I$87=10,Premissas!$B$83,0))*I93</f>
        <v>-0</v>
      </c>
      <c r="J106" s="36" t="n">
        <f aca="false">-(IF(J$87=3,Premissas!$B$80,0)+IF(J$87=5,Premissas!$B$81,0)+IF(J$87=8,Premissas!$B$82,0)+IF(J$87=10,Premissas!$B$83,0))*J93</f>
        <v>-900407.048</v>
      </c>
      <c r="K106" s="36" t="n">
        <f aca="false">-(IF(K$87=3,Premissas!$B$80,0)+IF(K$87=5,Premissas!$B$81,0)+IF(K$87=8,Premissas!$B$82,0)+IF(K$87=10,Premissas!$B$83,0))*K93</f>
        <v>-0</v>
      </c>
      <c r="L106" s="36" t="n">
        <f aca="false">-(IF(L$87=3,Premissas!$B$80,0)+IF(L$87=5,Premissas!$B$81,0)+IF(L$87=8,Premissas!$B$82,0)+IF(L$87=10,Premissas!$B$83,0))*L93</f>
        <v>-0</v>
      </c>
      <c r="M106" s="36" t="n">
        <f aca="false">-(IF(M$87=3,Premissas!$B$80,0)+IF(M$87=5,Premissas!$B$81,0)+IF(M$87=8,Premissas!$B$82,0)+IF(M$87=10,Premissas!$B$83,0))*M93</f>
        <v>-491949.546169948</v>
      </c>
      <c r="N106" s="36" t="n">
        <f aca="false">-(IF(N$87=3,Premissas!$B$80,0)+IF(N$87=5,Premissas!$B$81,0)+IF(N$87=8,Premissas!$B$82,0)+IF(N$87=10,Premissas!$B$83,0))*N93</f>
        <v>-0</v>
      </c>
      <c r="O106" s="36" t="n">
        <f aca="false">-(IF(O$87=3,Premissas!$B$80,0)+IF(O$87=5,Premissas!$B$81,0)+IF(O$87=8,Premissas!$B$82,0)+IF(O$87=10,Premissas!$B$83,0))*O93</f>
        <v>-1304773.18382925</v>
      </c>
      <c r="P106" s="3"/>
    </row>
    <row r="107" customFormat="false" ht="15" hidden="false" customHeight="false" outlineLevel="0" collapsed="false">
      <c r="A107" s="3"/>
      <c r="B107" s="4" t="s">
        <v>418</v>
      </c>
      <c r="C107" s="36" t="n">
        <f aca="false">-IF(C$87&gt;=1,Premissas!$B$52*(Premissas!$B$84+IF(C$87=6,Premissas!$B$85,0))*C93,0)</f>
        <v>-0</v>
      </c>
      <c r="D107" s="36" t="n">
        <f aca="false">-IF(D$87&gt;=1,Premissas!$B$52*(Premissas!$B$84+IF(D$87=6,Premissas!$B$85,0))*D93,0)</f>
        <v>-0</v>
      </c>
      <c r="E107" s="36" t="n">
        <f aca="false">-IF(E$87&gt;=1,Premissas!$B$52*(Premissas!$B$84+IF(E$87=6,Premissas!$B$85,0))*E93,0)</f>
        <v>-0</v>
      </c>
      <c r="F107" s="36" t="n">
        <f aca="false">-IF(F$87&gt;=1,Premissas!$B$52*(Premissas!$B$84+IF(F$87=6,Premissas!$B$85,0))*F93,0)</f>
        <v>-238545</v>
      </c>
      <c r="G107" s="36" t="n">
        <f aca="false">-IF(G$87&gt;=1,Premissas!$B$52*(Premissas!$B$84+IF(G$87=6,Premissas!$B$85,0))*G93,0)</f>
        <v>-245701.35</v>
      </c>
      <c r="H107" s="36" t="n">
        <f aca="false">-IF(H$87&gt;=1,Premissas!$B$52*(Premissas!$B$84+IF(H$87=6,Premissas!$B$85,0))*H93,0)</f>
        <v>-253072.3905</v>
      </c>
      <c r="I107" s="36" t="n">
        <f aca="false">-IF(I$87&gt;=1,Premissas!$B$52*(Premissas!$B$84+IF(I$87=6,Premissas!$B$85,0))*I93,0)</f>
        <v>-260664.562215</v>
      </c>
      <c r="J107" s="36" t="n">
        <f aca="false">-IF(J$87&gt;=1,Premissas!$B$52*(Premissas!$B$84+IF(J$87=6,Premissas!$B$85,0))*J93,0)</f>
        <v>-268484.49908145</v>
      </c>
      <c r="K107" s="36" t="n">
        <f aca="false">-IF(K$87&gt;=1,Premissas!$B$52*(Premissas!$B$84+IF(K$87=6,Premissas!$B$85,0))*K93,0)</f>
        <v>-2488851.30648504</v>
      </c>
      <c r="L107" s="36" t="n">
        <f aca="false">-IF(L$87&gt;=1,Premissas!$B$52*(Premissas!$B$84+IF(L$87=6,Premissas!$B$85,0))*L93,0)</f>
        <v>-284835.20507551</v>
      </c>
      <c r="M107" s="36" t="n">
        <f aca="false">-IF(M$87&gt;=1,Premissas!$B$52*(Premissas!$B$84+IF(M$87=6,Premissas!$B$85,0))*M93,0)</f>
        <v>-293380.261227776</v>
      </c>
      <c r="N107" s="36" t="n">
        <f aca="false">-IF(N$87&gt;=1,Premissas!$B$52*(Premissas!$B$84+IF(N$87=6,Premissas!$B$85,0))*N93,0)</f>
        <v>-302181.669064609</v>
      </c>
      <c r="O107" s="36" t="n">
        <f aca="false">-IF(O$87&gt;=1,Premissas!$B$52*(Premissas!$B$84+IF(O$87=6,Premissas!$B$85,0))*O93,0)</f>
        <v>-311247.119136547</v>
      </c>
      <c r="P107" s="3"/>
    </row>
    <row r="108" customFormat="false" ht="15" hidden="false" customHeight="false" outlineLevel="0" collapsed="false">
      <c r="A108" s="3"/>
      <c r="B108" s="4" t="s">
        <v>419</v>
      </c>
      <c r="C108" s="36" t="n">
        <f aca="false">-Premissas!$B$52*Premissas!$B$53</f>
        <v>-9541800</v>
      </c>
      <c r="D108" s="36" t="n">
        <f aca="false">-Premissas!$B$52*Premissas!$B$54</f>
        <v>-9541800</v>
      </c>
      <c r="E108" s="36" t="n">
        <f aca="false">-Premissas!$B$52*Premissas!$B$55</f>
        <v>-28625400</v>
      </c>
      <c r="F108" s="36" t="n">
        <v>0</v>
      </c>
      <c r="G108" s="36" t="n">
        <v>0</v>
      </c>
      <c r="H108" s="36" t="n">
        <v>0</v>
      </c>
      <c r="I108" s="36" t="n">
        <v>0</v>
      </c>
      <c r="J108" s="36" t="n">
        <v>0</v>
      </c>
      <c r="K108" s="36" t="n">
        <v>0</v>
      </c>
      <c r="L108" s="36" t="n">
        <v>0</v>
      </c>
      <c r="M108" s="36" t="n">
        <v>0</v>
      </c>
      <c r="N108" s="36" t="n">
        <v>0</v>
      </c>
      <c r="O108" s="36" t="n">
        <v>0</v>
      </c>
      <c r="P108" s="3"/>
    </row>
    <row r="109" customFormat="false" ht="15" hidden="false" customHeight="false" outlineLevel="0" collapsed="false">
      <c r="A109" s="3"/>
      <c r="B109" s="4" t="s">
        <v>420</v>
      </c>
      <c r="C109" s="36" t="n">
        <f aca="false">IF(C$87=10,Premissas!$B$52*Premissas!$D$35,0)</f>
        <v>0</v>
      </c>
      <c r="D109" s="36" t="n">
        <f aca="false">IF(D$87=10,Premissas!$B$52*Premissas!$D$35,0)</f>
        <v>0</v>
      </c>
      <c r="E109" s="36" t="n">
        <f aca="false">IF(E$87=10,Premissas!$B$52*Premissas!$D$35,0)</f>
        <v>0</v>
      </c>
      <c r="F109" s="36" t="n">
        <f aca="false">IF(F$87=10,Premissas!$B$52*Premissas!$D$35,0)</f>
        <v>0</v>
      </c>
      <c r="G109" s="36" t="n">
        <f aca="false">IF(G$87=10,Premissas!$B$52*Premissas!$D$35,0)</f>
        <v>0</v>
      </c>
      <c r="H109" s="36" t="n">
        <f aca="false">IF(H$87=10,Premissas!$B$52*Premissas!$D$35,0)</f>
        <v>0</v>
      </c>
      <c r="I109" s="36" t="n">
        <f aca="false">IF(I$87=10,Premissas!$B$52*Premissas!$D$35,0)</f>
        <v>0</v>
      </c>
      <c r="J109" s="36" t="n">
        <f aca="false">IF(J$87=10,Premissas!$B$52*Premissas!$D$35,0)</f>
        <v>0</v>
      </c>
      <c r="K109" s="36" t="n">
        <f aca="false">IF(K$87=10,Premissas!$B$52*Premissas!$D$35,0)</f>
        <v>0</v>
      </c>
      <c r="L109" s="36" t="n">
        <f aca="false">IF(L$87=10,Premissas!$B$52*Premissas!$D$35,0)</f>
        <v>0</v>
      </c>
      <c r="M109" s="36" t="n">
        <f aca="false">IF(M$87=10,Premissas!$B$52*Premissas!$D$35,0)</f>
        <v>0</v>
      </c>
      <c r="N109" s="36" t="n">
        <f aca="false">IF(N$87=10,Premissas!$B$52*Premissas!$D$35,0)</f>
        <v>0</v>
      </c>
      <c r="O109" s="36" t="n">
        <f aca="false">IF(O$87=10,Premissas!$B$52*Premissas!$D$35,0)</f>
        <v>31010850</v>
      </c>
      <c r="P109" s="3"/>
    </row>
    <row r="110" customFormat="false" ht="15" hidden="false" customHeight="false" outlineLevel="0" collapsed="false">
      <c r="A110" s="3"/>
      <c r="B110" s="14" t="s">
        <v>421</v>
      </c>
      <c r="C110" s="33" t="n">
        <f aca="false">C101+C105+C106+C107+C108+C109</f>
        <v>-9541800</v>
      </c>
      <c r="D110" s="33" t="n">
        <f aca="false">D101+D105+D106+D107+D108+D109</f>
        <v>-9541800</v>
      </c>
      <c r="E110" s="33" t="n">
        <f aca="false">E101+E105+E106+E107+E108+E109</f>
        <v>-28625400</v>
      </c>
      <c r="F110" s="33" t="n">
        <f aca="false">F101+F105+F106+F107+F108+F109</f>
        <v>3146171.02252174</v>
      </c>
      <c r="G110" s="33" t="n">
        <f aca="false">G101+G105+G106+G107+G108+G109</f>
        <v>3440569.19059304</v>
      </c>
      <c r="H110" s="33" t="n">
        <f aca="false">H101+H105+H106+H107+H108+H109</f>
        <v>3124058.81324284</v>
      </c>
      <c r="I110" s="33" t="n">
        <f aca="false">I101+I105+I106+I107+I108+I109</f>
        <v>3551038.06607042</v>
      </c>
      <c r="J110" s="33" t="n">
        <f aca="false">J101+J105+J106+J107+J108+J109</f>
        <v>2707161.07726859</v>
      </c>
      <c r="K110" s="33" t="n">
        <f aca="false">K101+K105+K106+K107+K108+K109</f>
        <v>1452657.58956696</v>
      </c>
      <c r="L110" s="33" t="n">
        <f aca="false">L101+L105+L106+L107+L108+L109</f>
        <v>3723248.82097879</v>
      </c>
      <c r="M110" s="33" t="n">
        <f aca="false">M101+M105+M106+M107+M108+M109</f>
        <v>3290460.65196197</v>
      </c>
      <c r="N110" s="33" t="n">
        <f aca="false">N101+N105+N106+N107+N108+N109</f>
        <v>3842458.81723773</v>
      </c>
      <c r="O110" s="33" t="n">
        <f aca="false">O101+O105+O106+O107+O108+O109</f>
        <v>33609475.9217415</v>
      </c>
      <c r="P110" s="3"/>
    </row>
    <row r="111" customFormat="false" ht="15" hidden="false" customHeight="false" outlineLevel="0" collapsed="false">
      <c r="A111" s="3"/>
      <c r="B111" s="4" t="s">
        <v>422</v>
      </c>
      <c r="C111" s="36" t="n">
        <f aca="false">C110-C109</f>
        <v>-9541800</v>
      </c>
      <c r="D111" s="36" t="n">
        <f aca="false">C111+D110-D109</f>
        <v>-19083600</v>
      </c>
      <c r="E111" s="36" t="n">
        <f aca="false">D111+E110-E109</f>
        <v>-47709000</v>
      </c>
      <c r="F111" s="36" t="n">
        <f aca="false">E111+F110-F109</f>
        <v>-44562828.9774783</v>
      </c>
      <c r="G111" s="36" t="n">
        <f aca="false">F111+G110-G109</f>
        <v>-41122259.7868852</v>
      </c>
      <c r="H111" s="36" t="n">
        <f aca="false">G111+H110-H109</f>
        <v>-37998200.9736424</v>
      </c>
      <c r="I111" s="36" t="n">
        <f aca="false">H111+I110-I109</f>
        <v>-34447162.907572</v>
      </c>
      <c r="J111" s="36" t="n">
        <f aca="false">I111+J110-J109</f>
        <v>-31740001.8303034</v>
      </c>
      <c r="K111" s="36" t="n">
        <f aca="false">J111+K110-K109</f>
        <v>-30287344.2407364</v>
      </c>
      <c r="L111" s="36" t="n">
        <f aca="false">K111+L110-L109</f>
        <v>-26564095.4197576</v>
      </c>
      <c r="M111" s="36" t="n">
        <f aca="false">L111+M110-M109</f>
        <v>-23273634.7677957</v>
      </c>
      <c r="N111" s="36" t="n">
        <f aca="false">M111+N110-N109</f>
        <v>-19431175.9505579</v>
      </c>
      <c r="O111" s="36" t="n">
        <f aca="false">N111+O110-O109</f>
        <v>-16832550.0288164</v>
      </c>
      <c r="P111" s="3"/>
    </row>
    <row r="112" customFormat="false" ht="15" hidden="false" customHeight="false" outlineLevel="0" collapsed="false">
      <c r="A112" s="3"/>
      <c r="B112" s="6" t="s">
        <v>423</v>
      </c>
      <c r="C112" s="46" t="n">
        <v>0</v>
      </c>
      <c r="D112" s="46" t="n">
        <v>0</v>
      </c>
      <c r="E112" s="46" t="n">
        <v>0</v>
      </c>
      <c r="F112" s="46" t="n">
        <f aca="false">IF(AND(E111&lt;0,F111&gt;=0),F$87-1+(-E111)/(F110-F109),0)</f>
        <v>0</v>
      </c>
      <c r="G112" s="46" t="n">
        <f aca="false">IF(AND(F111&lt;0,G111&gt;=0),G$87-1+(-F111)/(G110-G109),0)</f>
        <v>0</v>
      </c>
      <c r="H112" s="46" t="n">
        <f aca="false">IF(AND(G111&lt;0,H111&gt;=0),H$87-1+(-G111)/(H110-H109),0)</f>
        <v>0</v>
      </c>
      <c r="I112" s="46" t="n">
        <f aca="false">IF(AND(H111&lt;0,I111&gt;=0),I$87-1+(-H111)/(I110-I109),0)</f>
        <v>0</v>
      </c>
      <c r="J112" s="46" t="n">
        <f aca="false">IF(AND(I111&lt;0,J111&gt;=0),J$87-1+(-I111)/(J110-J109),0)</f>
        <v>0</v>
      </c>
      <c r="K112" s="46" t="n">
        <f aca="false">IF(AND(J111&lt;0,K111&gt;=0),K$87-1+(-J111)/(K110-K109),0)</f>
        <v>0</v>
      </c>
      <c r="L112" s="46" t="n">
        <f aca="false">IF(AND(K111&lt;0,L111&gt;=0),L$87-1+(-K111)/(L110-L109),0)</f>
        <v>0</v>
      </c>
      <c r="M112" s="46" t="n">
        <f aca="false">IF(AND(L111&lt;0,M111&gt;=0),M$87-1+(-L111)/(M110-M109),0)</f>
        <v>0</v>
      </c>
      <c r="N112" s="46" t="n">
        <f aca="false">IF(AND(M111&lt;0,N111&gt;=0),N$87-1+(-M111)/(N110-N109),0)</f>
        <v>0</v>
      </c>
      <c r="O112" s="46" t="n">
        <f aca="false">IF(AND(N111&lt;0,O111&gt;=0),O$87-1+(-N111)/(O110-O109),0)</f>
        <v>0</v>
      </c>
      <c r="P112" s="3"/>
    </row>
    <row r="113" customFormat="false" ht="15" hidden="false" customHeight="false" outlineLevel="0" collapsed="false">
      <c r="A113" s="3"/>
      <c r="B113" s="14" t="s">
        <v>424</v>
      </c>
      <c r="C113" s="47" t="n">
        <f aca="false">IFERROR(IRR(C110:O110,0.05),IFERROR(IRR(C110:O110,-0.05),IF(SUM(C110:O110)&lt;0,"negativa","n/d")))</f>
        <v>0.0322599733055549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" hidden="false" customHeight="false" outlineLevel="0" collapsed="false">
      <c r="A114" s="3"/>
      <c r="B114" s="14" t="s">
        <v>425</v>
      </c>
      <c r="C114" s="48" t="n">
        <f aca="false">C110*(1+Premissas!$B$10)^2+D110*(1+Premissas!$B$10)+E110+NPV(Premissas!$B$10,F110:O110)</f>
        <v>-19656752.0585028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customFormat="false" ht="15" hidden="false" customHeight="false" outlineLevel="0" collapsed="false">
      <c r="A115" s="3"/>
      <c r="B115" s="14" t="s">
        <v>426</v>
      </c>
      <c r="C115" s="49" t="str">
        <f aca="false">IF(SUM(F112:O112)=0,"&gt; 10",SUM(F112:O112))</f>
        <v>&gt; 10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customFormat="false" ht="15" hidden="false" customHeight="false" outlineLevel="0" collapsed="false">
      <c r="A116" s="3"/>
      <c r="B116" s="14" t="s">
        <v>427</v>
      </c>
      <c r="C116" s="47" t="n">
        <f aca="false">SUM(C110:O110)/-SUM(C108:E108)</f>
        <v>0.297182920857356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" hidden="false" customHeight="false" outlineLevel="0" collapsed="false">
      <c r="A117" s="3"/>
      <c r="B117" s="14" t="s">
        <v>428</v>
      </c>
      <c r="C117" s="47" t="n">
        <f aca="false">AVERAGE(F104:O104)*(1-Premissas!$B$11)/-SUM(C108:E108)</f>
        <v>0.0465189128088384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customFormat="false" ht="15" hidden="false" customHeight="false" outlineLevel="0" collapsed="false">
      <c r="A118" s="3"/>
      <c r="B118" s="14" t="s">
        <v>429</v>
      </c>
      <c r="C118" s="48" t="n">
        <f aca="false">H101</f>
        <v>4819256.21779217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customFormat="false" ht="15" hidden="false" customHeight="false" outlineLevel="0" collapsed="false">
      <c r="A119" s="3"/>
      <c r="B119" s="14" t="s">
        <v>430</v>
      </c>
      <c r="C119" s="48" t="n">
        <f aca="false">H98</f>
        <v>9746923.809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customFormat="false" ht="15" hidden="false" customHeight="false" outlineLevel="0" collapsed="false">
      <c r="A120" s="3"/>
      <c r="B120" s="14" t="s">
        <v>431</v>
      </c>
      <c r="C120" s="47" t="n">
        <f aca="false">H102</f>
        <v>0.494438687757283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customFormat="false" ht="15" hidden="false" customHeight="false" outlineLevel="0" collapsed="false">
      <c r="A121" s="3"/>
      <c r="B121" s="14" t="s">
        <v>432</v>
      </c>
      <c r="C121" s="48" t="n">
        <f aca="false">-(H99+H100)</f>
        <v>4927667.59120783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customFormat="false" ht="15" hidden="false" customHeight="false" outlineLevel="0" collapsed="false">
      <c r="A122" s="3"/>
      <c r="B122" s="14" t="s">
        <v>433</v>
      </c>
      <c r="C122" s="50" t="n">
        <f aca="false">IFERROR(-H100/((H98+H99)/H88),"n/d")</f>
        <v>12.4543547000742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" hidden="false" customHeight="false" outlineLevel="0" collapsed="false">
      <c r="A123" s="3"/>
      <c r="B123" s="14" t="s">
        <v>434</v>
      </c>
      <c r="C123" s="48" t="n">
        <f aca="false">-SUM(C108:E108)</f>
        <v>47709000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" hidden="false" customHeight="false" outlineLevel="0" collapsed="false">
      <c r="A124" s="3"/>
      <c r="B124" s="14" t="s">
        <v>435</v>
      </c>
      <c r="C124" s="48" t="n">
        <f aca="false">O109</f>
        <v>31010850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" hidden="false" customHeight="false" outlineLevel="0" collapsed="false">
      <c r="A127" s="3"/>
      <c r="B127" s="19" t="s">
        <v>438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customFormat="false" ht="15" hidden="false" customHeight="false" outlineLevel="0" collapsed="false">
      <c r="A128" s="3"/>
      <c r="B128" s="14" t="s">
        <v>398</v>
      </c>
      <c r="C128" s="44" t="n">
        <v>-2</v>
      </c>
      <c r="D128" s="44" t="n">
        <v>-1</v>
      </c>
      <c r="E128" s="44" t="n">
        <v>0</v>
      </c>
      <c r="F128" s="44" t="n">
        <v>1</v>
      </c>
      <c r="G128" s="44" t="n">
        <v>2</v>
      </c>
      <c r="H128" s="44" t="n">
        <v>3</v>
      </c>
      <c r="I128" s="44" t="n">
        <v>4</v>
      </c>
      <c r="J128" s="44" t="n">
        <v>5</v>
      </c>
      <c r="K128" s="44" t="n">
        <v>6</v>
      </c>
      <c r="L128" s="44" t="n">
        <v>7</v>
      </c>
      <c r="M128" s="44" t="n">
        <v>8</v>
      </c>
      <c r="N128" s="44" t="n">
        <v>9</v>
      </c>
      <c r="O128" s="44" t="n">
        <v>10</v>
      </c>
      <c r="P128" s="3"/>
    </row>
    <row r="129" customFormat="false" ht="15" hidden="false" customHeight="false" outlineLevel="0" collapsed="false">
      <c r="A129" s="3"/>
      <c r="B129" s="4" t="s">
        <v>399</v>
      </c>
      <c r="C129" s="39" t="n">
        <f aca="false">IF(C$128&gt;=1,Premissas!$B$29*IF(C$128=1,Premissas!$B$37,1),0)</f>
        <v>0</v>
      </c>
      <c r="D129" s="39" t="n">
        <f aca="false">IF(D$128&gt;=1,Premissas!$B$29*IF(D$128=1,Premissas!$B$37,1),0)</f>
        <v>0</v>
      </c>
      <c r="E129" s="39" t="n">
        <f aca="false">IF(E$128&gt;=1,Premissas!$B$29*IF(E$128=1,Premissas!$B$37,1),0)</f>
        <v>0</v>
      </c>
      <c r="F129" s="39" t="n">
        <f aca="false">IF(F$128&gt;=1,Premissas!$B$29*IF(F$128=1,Premissas!$B$37,1),0)</f>
        <v>15</v>
      </c>
      <c r="G129" s="39" t="n">
        <f aca="false">IF(G$128&gt;=1,Premissas!$B$29*IF(G$128=1,Premissas!$B$37,1),0)</f>
        <v>20</v>
      </c>
      <c r="H129" s="39" t="n">
        <f aca="false">IF(H$128&gt;=1,Premissas!$B$29*IF(H$128=1,Premissas!$B$37,1),0)</f>
        <v>20</v>
      </c>
      <c r="I129" s="39" t="n">
        <f aca="false">IF(I$128&gt;=1,Premissas!$B$29*IF(I$128=1,Premissas!$B$37,1),0)</f>
        <v>20</v>
      </c>
      <c r="J129" s="39" t="n">
        <f aca="false">IF(J$128&gt;=1,Premissas!$B$29*IF(J$128=1,Premissas!$B$37,1),0)</f>
        <v>20</v>
      </c>
      <c r="K129" s="39" t="n">
        <f aca="false">IF(K$128&gt;=1,Premissas!$B$29*IF(K$128=1,Premissas!$B$37,1),0)</f>
        <v>20</v>
      </c>
      <c r="L129" s="39" t="n">
        <f aca="false">IF(L$128&gt;=1,Premissas!$B$29*IF(L$128=1,Premissas!$B$37,1),0)</f>
        <v>20</v>
      </c>
      <c r="M129" s="39" t="n">
        <f aca="false">IF(M$128&gt;=1,Premissas!$B$29*IF(M$128=1,Premissas!$B$37,1),0)</f>
        <v>20</v>
      </c>
      <c r="N129" s="39" t="n">
        <f aca="false">IF(N$128&gt;=1,Premissas!$B$29*IF(N$128=1,Premissas!$B$37,1),0)</f>
        <v>20</v>
      </c>
      <c r="O129" s="39" t="n">
        <f aca="false">IF(O$128&gt;=1,Premissas!$B$29*IF(O$128=1,Premissas!$B$37,1),0)</f>
        <v>20</v>
      </c>
      <c r="P129" s="3"/>
    </row>
    <row r="130" customFormat="false" ht="15" hidden="false" customHeight="false" outlineLevel="0" collapsed="false">
      <c r="A130" s="3"/>
      <c r="B130" s="4" t="s">
        <v>400</v>
      </c>
      <c r="C130" s="39" t="n">
        <f aca="false">MIN(C129,Premissas!$B$30)</f>
        <v>0</v>
      </c>
      <c r="D130" s="39" t="n">
        <f aca="false">MIN(D129,Premissas!$B$30)</f>
        <v>0</v>
      </c>
      <c r="E130" s="39" t="n">
        <f aca="false">MIN(E129,Premissas!$B$30)</f>
        <v>0</v>
      </c>
      <c r="F130" s="39" t="n">
        <f aca="false">MIN(F129,Premissas!$B$30)</f>
        <v>6</v>
      </c>
      <c r="G130" s="39" t="n">
        <f aca="false">MIN(G129,Premissas!$B$30)</f>
        <v>6</v>
      </c>
      <c r="H130" s="39" t="n">
        <f aca="false">MIN(H129,Premissas!$B$30)</f>
        <v>6</v>
      </c>
      <c r="I130" s="39" t="n">
        <f aca="false">MIN(I129,Premissas!$B$30)</f>
        <v>6</v>
      </c>
      <c r="J130" s="39" t="n">
        <f aca="false">MIN(J129,Premissas!$B$30)</f>
        <v>6</v>
      </c>
      <c r="K130" s="39" t="n">
        <f aca="false">MIN(K129,Premissas!$B$30)</f>
        <v>6</v>
      </c>
      <c r="L130" s="39" t="n">
        <f aca="false">MIN(L129,Premissas!$B$30)</f>
        <v>6</v>
      </c>
      <c r="M130" s="39" t="n">
        <f aca="false">MIN(M129,Premissas!$B$30)</f>
        <v>6</v>
      </c>
      <c r="N130" s="39" t="n">
        <f aca="false">MIN(N129,Premissas!$B$30)</f>
        <v>6</v>
      </c>
      <c r="O130" s="39" t="n">
        <f aca="false">MIN(O129,Premissas!$B$30)</f>
        <v>6</v>
      </c>
      <c r="P130" s="3"/>
    </row>
    <row r="131" customFormat="false" ht="15" hidden="false" customHeight="false" outlineLevel="0" collapsed="false">
      <c r="A131" s="3"/>
      <c r="B131" s="4" t="s">
        <v>401</v>
      </c>
      <c r="C131" s="39" t="n">
        <f aca="false">MIN(C129-C130,Premissas!$B$31)</f>
        <v>0</v>
      </c>
      <c r="D131" s="39" t="n">
        <f aca="false">MIN(D129-D130,Premissas!$B$31)</f>
        <v>0</v>
      </c>
      <c r="E131" s="39" t="n">
        <f aca="false">MIN(E129-E130,Premissas!$B$31)</f>
        <v>0</v>
      </c>
      <c r="F131" s="39" t="n">
        <f aca="false">MIN(F129-F130,Premissas!$B$31)</f>
        <v>4</v>
      </c>
      <c r="G131" s="39" t="n">
        <f aca="false">MIN(G129-G130,Premissas!$B$31)</f>
        <v>4</v>
      </c>
      <c r="H131" s="39" t="n">
        <f aca="false">MIN(H129-H130,Premissas!$B$31)</f>
        <v>4</v>
      </c>
      <c r="I131" s="39" t="n">
        <f aca="false">MIN(I129-I130,Premissas!$B$31)</f>
        <v>4</v>
      </c>
      <c r="J131" s="39" t="n">
        <f aca="false">MIN(J129-J130,Premissas!$B$31)</f>
        <v>4</v>
      </c>
      <c r="K131" s="39" t="n">
        <f aca="false">MIN(K129-K130,Premissas!$B$31)</f>
        <v>4</v>
      </c>
      <c r="L131" s="39" t="n">
        <f aca="false">MIN(L129-L130,Premissas!$B$31)</f>
        <v>4</v>
      </c>
      <c r="M131" s="39" t="n">
        <f aca="false">MIN(M129-M130,Premissas!$B$31)</f>
        <v>4</v>
      </c>
      <c r="N131" s="39" t="n">
        <f aca="false">MIN(N129-N130,Premissas!$B$31)</f>
        <v>4</v>
      </c>
      <c r="O131" s="39" t="n">
        <f aca="false">MIN(O129-O130,Premissas!$B$31)</f>
        <v>4</v>
      </c>
      <c r="P131" s="3"/>
    </row>
    <row r="132" customFormat="false" ht="15" hidden="false" customHeight="false" outlineLevel="0" collapsed="false">
      <c r="A132" s="3"/>
      <c r="B132" s="4" t="s">
        <v>402</v>
      </c>
      <c r="C132" s="39" t="n">
        <f aca="false">C129-C130-C131</f>
        <v>0</v>
      </c>
      <c r="D132" s="39" t="n">
        <f aca="false">D129-D130-D131</f>
        <v>0</v>
      </c>
      <c r="E132" s="39" t="n">
        <f aca="false">E129-E130-E131</f>
        <v>0</v>
      </c>
      <c r="F132" s="39" t="n">
        <f aca="false">F129-F130-F131</f>
        <v>5</v>
      </c>
      <c r="G132" s="39" t="n">
        <f aca="false">G129-G130-G131</f>
        <v>10</v>
      </c>
      <c r="H132" s="39" t="n">
        <f aca="false">H129-H130-H131</f>
        <v>10</v>
      </c>
      <c r="I132" s="39" t="n">
        <f aca="false">I129-I130-I131</f>
        <v>10</v>
      </c>
      <c r="J132" s="39" t="n">
        <f aca="false">J129-J130-J131</f>
        <v>10</v>
      </c>
      <c r="K132" s="39" t="n">
        <f aca="false">K129-K130-K131</f>
        <v>10</v>
      </c>
      <c r="L132" s="39" t="n">
        <f aca="false">L129-L130-L131</f>
        <v>10</v>
      </c>
      <c r="M132" s="39" t="n">
        <f aca="false">M129-M130-M131</f>
        <v>10</v>
      </c>
      <c r="N132" s="39" t="n">
        <f aca="false">N129-N130-N131</f>
        <v>10</v>
      </c>
      <c r="O132" s="39" t="n">
        <f aca="false">O129-O130-O131</f>
        <v>10</v>
      </c>
      <c r="P132" s="3"/>
    </row>
    <row r="133" customFormat="false" ht="15" hidden="false" customHeight="false" outlineLevel="0" collapsed="false">
      <c r="A133" s="3"/>
      <c r="B133" s="4" t="s">
        <v>403</v>
      </c>
      <c r="C133" s="45" t="n">
        <f aca="false">IF(C$128&gt;=1,(1+Premissas!$B$8)^(C$128-1),0)</f>
        <v>0</v>
      </c>
      <c r="D133" s="45" t="n">
        <f aca="false">IF(D$128&gt;=1,(1+Premissas!$B$8)^(D$128-1),0)</f>
        <v>0</v>
      </c>
      <c r="E133" s="45" t="n">
        <f aca="false">IF(E$128&gt;=1,(1+Premissas!$B$8)^(E$128-1),0)</f>
        <v>0</v>
      </c>
      <c r="F133" s="45" t="n">
        <f aca="false">IF(F$128&gt;=1,(1+Premissas!$B$8)^(F$128-1),0)</f>
        <v>1</v>
      </c>
      <c r="G133" s="45" t="n">
        <f aca="false">IF(G$128&gt;=1,(1+Premissas!$B$8)^(G$128-1),0)</f>
        <v>1.025</v>
      </c>
      <c r="H133" s="45" t="n">
        <f aca="false">IF(H$128&gt;=1,(1+Premissas!$B$8)^(H$128-1),0)</f>
        <v>1.050625</v>
      </c>
      <c r="I133" s="45" t="n">
        <f aca="false">IF(I$128&gt;=1,(1+Premissas!$B$8)^(I$128-1),0)</f>
        <v>1.076890625</v>
      </c>
      <c r="J133" s="45" t="n">
        <f aca="false">IF(J$128&gt;=1,(1+Premissas!$B$8)^(J$128-1),0)</f>
        <v>1.103812890625</v>
      </c>
      <c r="K133" s="45" t="n">
        <f aca="false">IF(K$128&gt;=1,(1+Premissas!$B$8)^(K$128-1),0)</f>
        <v>1.13140821289062</v>
      </c>
      <c r="L133" s="45" t="n">
        <f aca="false">IF(L$128&gt;=1,(1+Premissas!$B$8)^(L$128-1),0)</f>
        <v>1.15969341821289</v>
      </c>
      <c r="M133" s="45" t="n">
        <f aca="false">IF(M$128&gt;=1,(1+Premissas!$B$8)^(M$128-1),0)</f>
        <v>1.18868575366821</v>
      </c>
      <c r="N133" s="45" t="n">
        <f aca="false">IF(N$128&gt;=1,(1+Premissas!$B$8)^(N$128-1),0)</f>
        <v>1.21840289750992</v>
      </c>
      <c r="O133" s="45" t="n">
        <f aca="false">IF(O$128&gt;=1,(1+Premissas!$B$8)^(O$128-1),0)</f>
        <v>1.24886296994767</v>
      </c>
      <c r="P133" s="3"/>
    </row>
    <row r="134" customFormat="false" ht="15" hidden="false" customHeight="false" outlineLevel="0" collapsed="false">
      <c r="A134" s="3"/>
      <c r="B134" s="4" t="s">
        <v>404</v>
      </c>
      <c r="C134" s="45" t="n">
        <f aca="false">IF(C$128&gt;=1,(1+Premissas!$B$9)^(C$128-1),0)</f>
        <v>0</v>
      </c>
      <c r="D134" s="45" t="n">
        <f aca="false">IF(D$128&gt;=1,(1+Premissas!$B$9)^(D$128-1),0)</f>
        <v>0</v>
      </c>
      <c r="E134" s="45" t="n">
        <f aca="false">IF(E$128&gt;=1,(1+Premissas!$B$9)^(E$128-1),0)</f>
        <v>0</v>
      </c>
      <c r="F134" s="45" t="n">
        <f aca="false">IF(F$128&gt;=1,(1+Premissas!$B$9)^(F$128-1),0)</f>
        <v>1</v>
      </c>
      <c r="G134" s="45" t="n">
        <f aca="false">IF(G$128&gt;=1,(1+Premissas!$B$9)^(G$128-1),0)</f>
        <v>1.03</v>
      </c>
      <c r="H134" s="45" t="n">
        <f aca="false">IF(H$128&gt;=1,(1+Premissas!$B$9)^(H$128-1),0)</f>
        <v>1.0609</v>
      </c>
      <c r="I134" s="45" t="n">
        <f aca="false">IF(I$128&gt;=1,(1+Premissas!$B$9)^(I$128-1),0)</f>
        <v>1.092727</v>
      </c>
      <c r="J134" s="45" t="n">
        <f aca="false">IF(J$128&gt;=1,(1+Premissas!$B$9)^(J$128-1),0)</f>
        <v>1.12550881</v>
      </c>
      <c r="K134" s="45" t="n">
        <f aca="false">IF(K$128&gt;=1,(1+Premissas!$B$9)^(K$128-1),0)</f>
        <v>1.1592740743</v>
      </c>
      <c r="L134" s="45" t="n">
        <f aca="false">IF(L$128&gt;=1,(1+Premissas!$B$9)^(L$128-1),0)</f>
        <v>1.194052296529</v>
      </c>
      <c r="M134" s="45" t="n">
        <f aca="false">IF(M$128&gt;=1,(1+Premissas!$B$9)^(M$128-1),0)</f>
        <v>1.22987386542487</v>
      </c>
      <c r="N134" s="45" t="n">
        <f aca="false">IF(N$128&gt;=1,(1+Premissas!$B$9)^(N$128-1),0)</f>
        <v>1.26677008138762</v>
      </c>
      <c r="O134" s="45" t="n">
        <f aca="false">IF(O$128&gt;=1,(1+Premissas!$B$9)^(O$128-1),0)</f>
        <v>1.30477318382925</v>
      </c>
      <c r="P134" s="3"/>
    </row>
    <row r="135" customFormat="false" ht="15" hidden="false" customHeight="false" outlineLevel="0" collapsed="false">
      <c r="A135" s="3"/>
      <c r="B135" s="4" t="s">
        <v>405</v>
      </c>
      <c r="C135" s="36" t="n">
        <f aca="false">C130*Premissas!$C$77*Premissas!$B$32*C133</f>
        <v>0</v>
      </c>
      <c r="D135" s="36" t="n">
        <f aca="false">D130*Premissas!$C$77*Premissas!$B$32*D133</f>
        <v>0</v>
      </c>
      <c r="E135" s="36" t="n">
        <f aca="false">E130*Premissas!$C$77*Premissas!$B$32*E133</f>
        <v>0</v>
      </c>
      <c r="F135" s="36" t="n">
        <f aca="false">F130*Premissas!$C$77*Premissas!$B$32*F133</f>
        <v>1458000</v>
      </c>
      <c r="G135" s="36" t="n">
        <f aca="false">G130*Premissas!$C$77*Premissas!$B$32*G133</f>
        <v>1494450</v>
      </c>
      <c r="H135" s="36" t="n">
        <f aca="false">H130*Premissas!$C$77*Premissas!$B$32*H133</f>
        <v>1531811.25</v>
      </c>
      <c r="I135" s="36" t="n">
        <f aca="false">I130*Premissas!$C$77*Premissas!$B$32*I133</f>
        <v>1570106.53125</v>
      </c>
      <c r="J135" s="36" t="n">
        <f aca="false">J130*Premissas!$C$77*Premissas!$B$32*J133</f>
        <v>1609359.19453125</v>
      </c>
      <c r="K135" s="36" t="n">
        <f aca="false">K130*Premissas!$C$77*Premissas!$B$32*K133</f>
        <v>1649593.17439453</v>
      </c>
      <c r="L135" s="36" t="n">
        <f aca="false">L130*Premissas!$C$77*Premissas!$B$32*L133</f>
        <v>1690833.00375439</v>
      </c>
      <c r="M135" s="36" t="n">
        <f aca="false">M130*Premissas!$C$77*Premissas!$B$32*M133</f>
        <v>1733103.82884825</v>
      </c>
      <c r="N135" s="36" t="n">
        <f aca="false">N130*Premissas!$C$77*Premissas!$B$32*N133</f>
        <v>1776431.42456946</v>
      </c>
      <c r="O135" s="36" t="n">
        <f aca="false">O130*Premissas!$C$77*Premissas!$B$32*O133</f>
        <v>1820842.2101837</v>
      </c>
      <c r="P135" s="3"/>
    </row>
    <row r="136" customFormat="false" ht="15" hidden="false" customHeight="false" outlineLevel="0" collapsed="false">
      <c r="A136" s="3"/>
      <c r="B136" s="4" t="s">
        <v>406</v>
      </c>
      <c r="C136" s="36" t="n">
        <f aca="false">C132*Premissas!$C$77*Premissas!$B$32*(1-Premissas!$B$12)*C133</f>
        <v>0</v>
      </c>
      <c r="D136" s="36" t="n">
        <f aca="false">D132*Premissas!$C$77*Premissas!$B$32*(1-Premissas!$B$12)*D133</f>
        <v>0</v>
      </c>
      <c r="E136" s="36" t="n">
        <f aca="false">E132*Premissas!$C$77*Premissas!$B$32*(1-Premissas!$B$12)*E133</f>
        <v>0</v>
      </c>
      <c r="F136" s="36" t="n">
        <f aca="false">F132*Premissas!$C$77*Premissas!$B$32*(1-Premissas!$B$12)*F133</f>
        <v>1032750</v>
      </c>
      <c r="G136" s="36" t="n">
        <f aca="false">G132*Premissas!$C$77*Premissas!$B$32*(1-Premissas!$B$12)*G133</f>
        <v>2117137.5</v>
      </c>
      <c r="H136" s="36" t="n">
        <f aca="false">H132*Premissas!$C$77*Premissas!$B$32*(1-Premissas!$B$12)*H133</f>
        <v>2170065.9375</v>
      </c>
      <c r="I136" s="36" t="n">
        <f aca="false">I132*Premissas!$C$77*Premissas!$B$32*(1-Premissas!$B$12)*I133</f>
        <v>2224317.5859375</v>
      </c>
      <c r="J136" s="36" t="n">
        <f aca="false">J132*Premissas!$C$77*Premissas!$B$32*(1-Premissas!$B$12)*J133</f>
        <v>2279925.52558594</v>
      </c>
      <c r="K136" s="36" t="n">
        <f aca="false">K132*Premissas!$C$77*Premissas!$B$32*(1-Premissas!$B$12)*K133</f>
        <v>2336923.66372558</v>
      </c>
      <c r="L136" s="36" t="n">
        <f aca="false">L132*Premissas!$C$77*Premissas!$B$32*(1-Premissas!$B$12)*L133</f>
        <v>2395346.75531872</v>
      </c>
      <c r="M136" s="36" t="n">
        <f aca="false">M132*Premissas!$C$77*Premissas!$B$32*(1-Premissas!$B$12)*M133</f>
        <v>2455230.42420169</v>
      </c>
      <c r="N136" s="36" t="n">
        <f aca="false">N132*Premissas!$C$77*Premissas!$B$32*(1-Premissas!$B$12)*N133</f>
        <v>2516611.18480673</v>
      </c>
      <c r="O136" s="36" t="n">
        <f aca="false">O132*Premissas!$C$77*Premissas!$B$32*(1-Premissas!$B$12)*O133</f>
        <v>2579526.4644269</v>
      </c>
      <c r="P136" s="3"/>
    </row>
    <row r="137" customFormat="false" ht="15" hidden="false" customHeight="false" outlineLevel="0" collapsed="false">
      <c r="A137" s="3"/>
      <c r="B137" s="4" t="s">
        <v>407</v>
      </c>
      <c r="C137" s="36" t="n">
        <f aca="false">C131*Premissas!$C$44*Premissas!$B$38*Premissas!$C$78*Premissas!$B$32*(1-Premissas!$B$12)*C133</f>
        <v>0</v>
      </c>
      <c r="D137" s="36" t="n">
        <f aca="false">D131*Premissas!$C$44*Premissas!$B$38*Premissas!$C$78*Premissas!$B$32*(1-Premissas!$B$12)*D133</f>
        <v>0</v>
      </c>
      <c r="E137" s="36" t="n">
        <f aca="false">E131*Premissas!$C$44*Premissas!$B$38*Premissas!$C$78*Premissas!$B$32*(1-Premissas!$B$12)*E133</f>
        <v>0</v>
      </c>
      <c r="F137" s="36" t="n">
        <f aca="false">F131*Premissas!$C$44*Premissas!$B$38*Premissas!$C$78*Premissas!$B$32*(1-Premissas!$B$12)*F133</f>
        <v>615794.4</v>
      </c>
      <c r="G137" s="36" t="n">
        <f aca="false">G131*Premissas!$C$44*Premissas!$B$38*Premissas!$C$78*Premissas!$B$32*(1-Premissas!$B$12)*G133</f>
        <v>631189.26</v>
      </c>
      <c r="H137" s="36" t="n">
        <f aca="false">H131*Premissas!$C$44*Premissas!$B$38*Premissas!$C$78*Premissas!$B$32*(1-Premissas!$B$12)*H133</f>
        <v>646968.9915</v>
      </c>
      <c r="I137" s="36" t="n">
        <f aca="false">I131*Premissas!$C$44*Premissas!$B$38*Premissas!$C$78*Premissas!$B$32*(1-Premissas!$B$12)*I133</f>
        <v>663143.2162875</v>
      </c>
      <c r="J137" s="36" t="n">
        <f aca="false">J131*Premissas!$C$44*Premissas!$B$38*Premissas!$C$78*Premissas!$B$32*(1-Premissas!$B$12)*J133</f>
        <v>679721.796694687</v>
      </c>
      <c r="K137" s="36" t="n">
        <f aca="false">K131*Premissas!$C$44*Premissas!$B$38*Premissas!$C$78*Premissas!$B$32*(1-Premissas!$B$12)*K133</f>
        <v>696714.841612055</v>
      </c>
      <c r="L137" s="36" t="n">
        <f aca="false">L131*Premissas!$C$44*Premissas!$B$38*Premissas!$C$78*Premissas!$B$32*(1-Premissas!$B$12)*L133</f>
        <v>714132.712652356</v>
      </c>
      <c r="M137" s="36" t="n">
        <f aca="false">M131*Premissas!$C$44*Premissas!$B$38*Premissas!$C$78*Premissas!$B$32*(1-Premissas!$B$12)*M133</f>
        <v>731986.030468665</v>
      </c>
      <c r="N137" s="36" t="n">
        <f aca="false">N131*Premissas!$C$44*Premissas!$B$38*Premissas!$C$78*Premissas!$B$32*(1-Premissas!$B$12)*N133</f>
        <v>750285.681230381</v>
      </c>
      <c r="O137" s="36" t="n">
        <f aca="false">O131*Premissas!$C$44*Premissas!$B$38*Premissas!$C$78*Premissas!$B$32*(1-Premissas!$B$12)*O133</f>
        <v>769042.823261141</v>
      </c>
      <c r="P137" s="3"/>
    </row>
    <row r="138" customFormat="false" ht="15" hidden="false" customHeight="false" outlineLevel="0" collapsed="false">
      <c r="A138" s="3"/>
      <c r="B138" s="4" t="s">
        <v>408</v>
      </c>
      <c r="C138" s="36" t="n">
        <f aca="false">C129*Premissas!$C$44*Premissas!$B$14*Premissas!$B$13*C133</f>
        <v>0</v>
      </c>
      <c r="D138" s="36" t="n">
        <f aca="false">D129*Premissas!$C$44*Premissas!$B$14*Premissas!$B$13*D133</f>
        <v>0</v>
      </c>
      <c r="E138" s="36" t="n">
        <f aca="false">E129*Premissas!$C$44*Premissas!$B$14*Premissas!$B$13*E133</f>
        <v>0</v>
      </c>
      <c r="F138" s="36" t="n">
        <f aca="false">F129*Premissas!$C$44*Premissas!$B$14*Premissas!$B$13*F133</f>
        <v>145800</v>
      </c>
      <c r="G138" s="36" t="n">
        <f aca="false">G129*Premissas!$C$44*Premissas!$B$14*Premissas!$B$13*G133</f>
        <v>199260</v>
      </c>
      <c r="H138" s="36" t="n">
        <f aca="false">H129*Premissas!$C$44*Premissas!$B$14*Premissas!$B$13*H133</f>
        <v>204241.5</v>
      </c>
      <c r="I138" s="36" t="n">
        <f aca="false">I129*Premissas!$C$44*Premissas!$B$14*Premissas!$B$13*I133</f>
        <v>209347.5375</v>
      </c>
      <c r="J138" s="36" t="n">
        <f aca="false">J129*Premissas!$C$44*Premissas!$B$14*Premissas!$B$13*J133</f>
        <v>214581.2259375</v>
      </c>
      <c r="K138" s="36" t="n">
        <f aca="false">K129*Premissas!$C$44*Premissas!$B$14*Premissas!$B$13*K133</f>
        <v>219945.756585937</v>
      </c>
      <c r="L138" s="36" t="n">
        <f aca="false">L129*Premissas!$C$44*Premissas!$B$14*Premissas!$B$13*L133</f>
        <v>225444.400500586</v>
      </c>
      <c r="M138" s="36" t="n">
        <f aca="false">M129*Premissas!$C$44*Premissas!$B$14*Premissas!$B$13*M133</f>
        <v>231080.5105131</v>
      </c>
      <c r="N138" s="36" t="n">
        <f aca="false">N129*Premissas!$C$44*Premissas!$B$14*Premissas!$B$13*N133</f>
        <v>236857.523275928</v>
      </c>
      <c r="O138" s="36" t="n">
        <f aca="false">O129*Premissas!$C$44*Premissas!$B$14*Premissas!$B$13*O133</f>
        <v>242778.961357826</v>
      </c>
      <c r="P138" s="3"/>
    </row>
    <row r="139" customFormat="false" ht="15" hidden="false" customHeight="false" outlineLevel="0" collapsed="false">
      <c r="A139" s="3"/>
      <c r="B139" s="14" t="s">
        <v>409</v>
      </c>
      <c r="C139" s="33" t="n">
        <f aca="false">SUM(C135:C138)</f>
        <v>0</v>
      </c>
      <c r="D139" s="33" t="n">
        <f aca="false">SUM(D135:D138)</f>
        <v>0</v>
      </c>
      <c r="E139" s="33" t="n">
        <f aca="false">SUM(E135:E138)</f>
        <v>0</v>
      </c>
      <c r="F139" s="33" t="n">
        <f aca="false">SUM(F135:F138)</f>
        <v>3252344.4</v>
      </c>
      <c r="G139" s="33" t="n">
        <f aca="false">SUM(G135:G138)</f>
        <v>4442036.76</v>
      </c>
      <c r="H139" s="33" t="n">
        <f aca="false">SUM(H135:H138)</f>
        <v>4553087.679</v>
      </c>
      <c r="I139" s="33" t="n">
        <f aca="false">SUM(I135:I138)</f>
        <v>4666914.870975</v>
      </c>
      <c r="J139" s="33" t="n">
        <f aca="false">SUM(J135:J138)</f>
        <v>4783587.74274937</v>
      </c>
      <c r="K139" s="33" t="n">
        <f aca="false">SUM(K135:K138)</f>
        <v>4903177.43631811</v>
      </c>
      <c r="L139" s="33" t="n">
        <f aca="false">SUM(L135:L138)</f>
        <v>5025756.87222606</v>
      </c>
      <c r="M139" s="33" t="n">
        <f aca="false">SUM(M135:M138)</f>
        <v>5151400.79403171</v>
      </c>
      <c r="N139" s="33" t="n">
        <f aca="false">SUM(N135:N138)</f>
        <v>5280185.8138825</v>
      </c>
      <c r="O139" s="33" t="n">
        <f aca="false">SUM(O135:O138)</f>
        <v>5412190.45922957</v>
      </c>
      <c r="P139" s="3"/>
    </row>
    <row r="140" customFormat="false" ht="15" hidden="false" customHeight="false" outlineLevel="0" collapsed="false">
      <c r="A140" s="3"/>
      <c r="B140" s="4" t="s">
        <v>410</v>
      </c>
      <c r="C140" s="36" t="n">
        <f aca="false">-C129*(Premissas!$C$70*Premissas!$B$34/Premissas!$B$6+Premissas!$C$75)*Premissas!$B$33*C134</f>
        <v>-0</v>
      </c>
      <c r="D140" s="36" t="n">
        <f aca="false">-D129*(Premissas!$C$70*Premissas!$B$34/Premissas!$B$6+Premissas!$C$75)*Premissas!$B$33*D134</f>
        <v>-0</v>
      </c>
      <c r="E140" s="36" t="n">
        <f aca="false">-E129*(Premissas!$C$70*Premissas!$B$34/Premissas!$B$6+Premissas!$C$75)*Premissas!$B$33*E134</f>
        <v>-0</v>
      </c>
      <c r="F140" s="36" t="n">
        <f aca="false">-F129*(Premissas!$C$70*Premissas!$B$34/Premissas!$B$6+Premissas!$C$75)*Premissas!$B$33*F134</f>
        <v>-1055451.91304348</v>
      </c>
      <c r="G140" s="36" t="n">
        <f aca="false">-G129*(Premissas!$C$70*Premissas!$B$34/Premissas!$B$6+Premissas!$C$75)*Premissas!$B$33*G134</f>
        <v>-1449487.29391304</v>
      </c>
      <c r="H140" s="36" t="n">
        <f aca="false">-H129*(Premissas!$C$70*Premissas!$B$34/Premissas!$B$6+Premissas!$C$75)*Premissas!$B$33*H134</f>
        <v>-1492971.91273044</v>
      </c>
      <c r="I140" s="36" t="n">
        <f aca="false">-I129*(Premissas!$C$70*Premissas!$B$34/Premissas!$B$6+Premissas!$C$75)*Premissas!$B$33*I134</f>
        <v>-1537761.07011235</v>
      </c>
      <c r="J140" s="36" t="n">
        <f aca="false">-J129*(Premissas!$C$70*Premissas!$B$34/Premissas!$B$6+Premissas!$C$75)*Premissas!$B$33*J134</f>
        <v>-1583893.90221572</v>
      </c>
      <c r="K140" s="36" t="n">
        <f aca="false">-K129*(Premissas!$C$70*Premissas!$B$34/Premissas!$B$6+Premissas!$C$75)*Premissas!$B$33*K134</f>
        <v>-1631410.71928219</v>
      </c>
      <c r="L140" s="36" t="n">
        <f aca="false">-L129*(Premissas!$C$70*Premissas!$B$34/Premissas!$B$6+Premissas!$C$75)*Premissas!$B$33*L134</f>
        <v>-1680353.04086066</v>
      </c>
      <c r="M140" s="36" t="n">
        <f aca="false">-M129*(Premissas!$C$70*Premissas!$B$34/Premissas!$B$6+Premissas!$C$75)*Premissas!$B$33*M134</f>
        <v>-1730763.63208648</v>
      </c>
      <c r="N140" s="36" t="n">
        <f aca="false">-N129*(Premissas!$C$70*Premissas!$B$34/Premissas!$B$6+Premissas!$C$75)*Premissas!$B$33*N134</f>
        <v>-1782686.54104907</v>
      </c>
      <c r="O140" s="36" t="n">
        <f aca="false">-O129*(Premissas!$C$70*Premissas!$B$34/Premissas!$B$6+Premissas!$C$75)*Premissas!$B$33*O134</f>
        <v>-1836167.13728054</v>
      </c>
      <c r="P140" s="3"/>
    </row>
    <row r="141" customFormat="false" ht="15" hidden="false" customHeight="false" outlineLevel="0" collapsed="false">
      <c r="A141" s="3"/>
      <c r="B141" s="4" t="s">
        <v>411</v>
      </c>
      <c r="C141" s="36" t="n">
        <f aca="false">-IF(C$128&gt;=1,Premissas!$C$68*Premissas!$B$33*C134,0)</f>
        <v>-0</v>
      </c>
      <c r="D141" s="36" t="n">
        <f aca="false">-IF(D$128&gt;=1,Premissas!$C$68*Premissas!$B$33*D134,0)</f>
        <v>-0</v>
      </c>
      <c r="E141" s="36" t="n">
        <f aca="false">-IF(E$128&gt;=1,Premissas!$C$68*Premissas!$B$33*E134,0)</f>
        <v>-0</v>
      </c>
      <c r="F141" s="36" t="n">
        <f aca="false">-IF(F$128&gt;=1,Premissas!$C$68*Premissas!$B$33*F134,0)</f>
        <v>-3799070</v>
      </c>
      <c r="G141" s="36" t="n">
        <f aca="false">-IF(G$128&gt;=1,Premissas!$C$68*Premissas!$B$33*G134,0)</f>
        <v>-3913042.1</v>
      </c>
      <c r="H141" s="36" t="n">
        <f aca="false">-IF(H$128&gt;=1,Premissas!$C$68*Premissas!$B$33*H134,0)</f>
        <v>-4030433.363</v>
      </c>
      <c r="I141" s="36" t="n">
        <f aca="false">-IF(I$128&gt;=1,Premissas!$C$68*Premissas!$B$33*I134,0)</f>
        <v>-4151346.36389</v>
      </c>
      <c r="J141" s="36" t="n">
        <f aca="false">-IF(J$128&gt;=1,Premissas!$C$68*Premissas!$B$33*J134,0)</f>
        <v>-4275886.7548067</v>
      </c>
      <c r="K141" s="36" t="n">
        <f aca="false">-IF(K$128&gt;=1,Premissas!$C$68*Premissas!$B$33*K134,0)</f>
        <v>-4404163.3574509</v>
      </c>
      <c r="L141" s="36" t="n">
        <f aca="false">-IF(L$128&gt;=1,Premissas!$C$68*Premissas!$B$33*L134,0)</f>
        <v>-4536288.25817443</v>
      </c>
      <c r="M141" s="36" t="n">
        <f aca="false">-IF(M$128&gt;=1,Premissas!$C$68*Premissas!$B$33*M134,0)</f>
        <v>-4672376.90591966</v>
      </c>
      <c r="N141" s="36" t="n">
        <f aca="false">-IF(N$128&gt;=1,Premissas!$C$68*Premissas!$B$33*N134,0)</f>
        <v>-4812548.21309725</v>
      </c>
      <c r="O141" s="36" t="n">
        <f aca="false">-IF(O$128&gt;=1,Premissas!$C$68*Premissas!$B$33*O134,0)</f>
        <v>-4956924.65949017</v>
      </c>
      <c r="P141" s="3"/>
    </row>
    <row r="142" customFormat="false" ht="15" hidden="false" customHeight="false" outlineLevel="0" collapsed="false">
      <c r="A142" s="3"/>
      <c r="B142" s="14" t="s">
        <v>412</v>
      </c>
      <c r="C142" s="33" t="n">
        <f aca="false">C139+C140+C141</f>
        <v>0</v>
      </c>
      <c r="D142" s="33" t="n">
        <f aca="false">D139+D140+D141</f>
        <v>0</v>
      </c>
      <c r="E142" s="33" t="n">
        <f aca="false">E139+E140+E141</f>
        <v>0</v>
      </c>
      <c r="F142" s="33" t="n">
        <f aca="false">F139+F140+F141</f>
        <v>-1602177.51304348</v>
      </c>
      <c r="G142" s="33" t="n">
        <f aca="false">G139+G140+G141</f>
        <v>-920492.633913044</v>
      </c>
      <c r="H142" s="33" t="n">
        <f aca="false">H139+H140+H141</f>
        <v>-970317.596730436</v>
      </c>
      <c r="I142" s="33" t="n">
        <f aca="false">I139+I140+I141</f>
        <v>-1022192.56302735</v>
      </c>
      <c r="J142" s="33" t="n">
        <f aca="false">J139+J140+J141</f>
        <v>-1076192.91427305</v>
      </c>
      <c r="K142" s="33" t="n">
        <f aca="false">K139+K140+K141</f>
        <v>-1132396.64041499</v>
      </c>
      <c r="L142" s="33" t="n">
        <f aca="false">L139+L140+L141</f>
        <v>-1190884.42680903</v>
      </c>
      <c r="M142" s="33" t="n">
        <f aca="false">M139+M140+M141</f>
        <v>-1251739.74397443</v>
      </c>
      <c r="N142" s="33" t="n">
        <f aca="false">N139+N140+N141</f>
        <v>-1315048.94026382</v>
      </c>
      <c r="O142" s="33" t="n">
        <f aca="false">O139+O140+O141</f>
        <v>-1380901.33754115</v>
      </c>
      <c r="P142" s="3"/>
    </row>
    <row r="143" customFormat="false" ht="15" hidden="false" customHeight="false" outlineLevel="0" collapsed="false">
      <c r="A143" s="3"/>
      <c r="B143" s="4" t="s">
        <v>413</v>
      </c>
      <c r="C143" s="42" t="n">
        <f aca="false">IF(C139=0,0,C142/C139)</f>
        <v>0</v>
      </c>
      <c r="D143" s="42" t="n">
        <f aca="false">IF(D139=0,0,D142/D139)</f>
        <v>0</v>
      </c>
      <c r="E143" s="42" t="n">
        <f aca="false">IF(E139=0,0,E142/E139)</f>
        <v>0</v>
      </c>
      <c r="F143" s="42" t="n">
        <f aca="false">IF(F139=0,0,F142/F139)</f>
        <v>-0.492622341300472</v>
      </c>
      <c r="G143" s="42" t="n">
        <f aca="false">IF(G139=0,0,G142/G139)</f>
        <v>-0.20722310139393</v>
      </c>
      <c r="H143" s="42" t="n">
        <f aca="false">IF(H139=0,0,H142/H139)</f>
        <v>-0.213111994571461</v>
      </c>
      <c r="I143" s="42" t="n">
        <f aca="false">IF(I139=0,0,I142/I139)</f>
        <v>-0.219029614057176</v>
      </c>
      <c r="J143" s="42" t="n">
        <f aca="false">IF(J139=0,0,J142/J139)</f>
        <v>-0.224976099979407</v>
      </c>
      <c r="K143" s="42" t="n">
        <f aca="false">IF(K139=0,0,K142/K139)</f>
        <v>-0.230951593150038</v>
      </c>
      <c r="L143" s="42" t="n">
        <f aca="false">IF(L139=0,0,L142/L139)</f>
        <v>-0.236956235067843</v>
      </c>
      <c r="M143" s="42" t="n">
        <f aca="false">IF(M139=0,0,M142/M139)</f>
        <v>-0.242990167921832</v>
      </c>
      <c r="N143" s="42" t="n">
        <f aca="false">IF(N139=0,0,N142/N139)</f>
        <v>-0.249053534594622</v>
      </c>
      <c r="O143" s="42" t="n">
        <f aca="false">IF(O139=0,0,O142/O139)</f>
        <v>-0.255146478665816</v>
      </c>
      <c r="P143" s="3"/>
    </row>
    <row r="144" customFormat="false" ht="15" hidden="false" customHeight="false" outlineLevel="0" collapsed="false">
      <c r="A144" s="3"/>
      <c r="B144" s="4" t="s">
        <v>414</v>
      </c>
      <c r="C144" s="36" t="n">
        <f aca="false">-IF(C$128&gt;=1,Premissas!$C$52*(1-Premissas!$B$36)/10,0)</f>
        <v>-0</v>
      </c>
      <c r="D144" s="36" t="n">
        <f aca="false">-IF(D$128&gt;=1,Premissas!$C$52*(1-Premissas!$B$36)/10,0)</f>
        <v>-0</v>
      </c>
      <c r="E144" s="36" t="n">
        <f aca="false">-IF(E$128&gt;=1,Premissas!$C$52*(1-Premissas!$B$36)/10,0)</f>
        <v>-0</v>
      </c>
      <c r="F144" s="36" t="n">
        <f aca="false">-IF(F$128&gt;=1,Premissas!$C$52*(1-Premissas!$B$36)/10,0)</f>
        <v>-1284000</v>
      </c>
      <c r="G144" s="36" t="n">
        <f aca="false">-IF(G$128&gt;=1,Premissas!$C$52*(1-Premissas!$B$36)/10,0)</f>
        <v>-1284000</v>
      </c>
      <c r="H144" s="36" t="n">
        <f aca="false">-IF(H$128&gt;=1,Premissas!$C$52*(1-Premissas!$B$36)/10,0)</f>
        <v>-1284000</v>
      </c>
      <c r="I144" s="36" t="n">
        <f aca="false">-IF(I$128&gt;=1,Premissas!$C$52*(1-Premissas!$B$36)/10,0)</f>
        <v>-1284000</v>
      </c>
      <c r="J144" s="36" t="n">
        <f aca="false">-IF(J$128&gt;=1,Premissas!$C$52*(1-Premissas!$B$36)/10,0)</f>
        <v>-1284000</v>
      </c>
      <c r="K144" s="36" t="n">
        <f aca="false">-IF(K$128&gt;=1,Premissas!$C$52*(1-Premissas!$B$36)/10,0)</f>
        <v>-1284000</v>
      </c>
      <c r="L144" s="36" t="n">
        <f aca="false">-IF(L$128&gt;=1,Premissas!$C$52*(1-Premissas!$B$36)/10,0)</f>
        <v>-1284000</v>
      </c>
      <c r="M144" s="36" t="n">
        <f aca="false">-IF(M$128&gt;=1,Premissas!$C$52*(1-Premissas!$B$36)/10,0)</f>
        <v>-1284000</v>
      </c>
      <c r="N144" s="36" t="n">
        <f aca="false">-IF(N$128&gt;=1,Premissas!$C$52*(1-Premissas!$B$36)/10,0)</f>
        <v>-1284000</v>
      </c>
      <c r="O144" s="36" t="n">
        <f aca="false">-IF(O$128&gt;=1,Premissas!$C$52*(1-Premissas!$B$36)/10,0)</f>
        <v>-1284000</v>
      </c>
      <c r="P144" s="3"/>
    </row>
    <row r="145" customFormat="false" ht="15" hidden="false" customHeight="false" outlineLevel="0" collapsed="false">
      <c r="A145" s="3"/>
      <c r="B145" s="14" t="s">
        <v>415</v>
      </c>
      <c r="C145" s="40" t="n">
        <f aca="false">C142+C144</f>
        <v>0</v>
      </c>
      <c r="D145" s="40" t="n">
        <f aca="false">D142+D144</f>
        <v>0</v>
      </c>
      <c r="E145" s="40" t="n">
        <f aca="false">E142+E144</f>
        <v>0</v>
      </c>
      <c r="F145" s="40" t="n">
        <f aca="false">F142+F144</f>
        <v>-2886177.51304348</v>
      </c>
      <c r="G145" s="40" t="n">
        <f aca="false">G142+G144</f>
        <v>-2204492.63391304</v>
      </c>
      <c r="H145" s="40" t="n">
        <f aca="false">H142+H144</f>
        <v>-2254317.59673044</v>
      </c>
      <c r="I145" s="40" t="n">
        <f aca="false">I142+I144</f>
        <v>-2306192.56302735</v>
      </c>
      <c r="J145" s="40" t="n">
        <f aca="false">J142+J144</f>
        <v>-2360192.91427305</v>
      </c>
      <c r="K145" s="40" t="n">
        <f aca="false">K142+K144</f>
        <v>-2416396.64041499</v>
      </c>
      <c r="L145" s="40" t="n">
        <f aca="false">L142+L144</f>
        <v>-2474884.42680903</v>
      </c>
      <c r="M145" s="40" t="n">
        <f aca="false">M142+M144</f>
        <v>-2535739.74397443</v>
      </c>
      <c r="N145" s="40" t="n">
        <f aca="false">N142+N144</f>
        <v>-2599048.94026382</v>
      </c>
      <c r="O145" s="40" t="n">
        <f aca="false">O142+O144</f>
        <v>-2664901.33754115</v>
      </c>
      <c r="P145" s="3"/>
    </row>
    <row r="146" customFormat="false" ht="15" hidden="false" customHeight="false" outlineLevel="0" collapsed="false">
      <c r="A146" s="3"/>
      <c r="B146" s="4" t="s">
        <v>416</v>
      </c>
      <c r="C146" s="36" t="n">
        <f aca="false">-MAX(0,C145)*Premissas!$B$11</f>
        <v>-0</v>
      </c>
      <c r="D146" s="36" t="n">
        <f aca="false">-MAX(0,D145)*Premissas!$B$11</f>
        <v>-0</v>
      </c>
      <c r="E146" s="36" t="n">
        <f aca="false">-MAX(0,E145)*Premissas!$B$11</f>
        <v>-0</v>
      </c>
      <c r="F146" s="36" t="n">
        <f aca="false">-MAX(0,F145)*Premissas!$B$11</f>
        <v>-0</v>
      </c>
      <c r="G146" s="36" t="n">
        <f aca="false">-MAX(0,G145)*Premissas!$B$11</f>
        <v>-0</v>
      </c>
      <c r="H146" s="36" t="n">
        <f aca="false">-MAX(0,H145)*Premissas!$B$11</f>
        <v>-0</v>
      </c>
      <c r="I146" s="36" t="n">
        <f aca="false">-MAX(0,I145)*Premissas!$B$11</f>
        <v>-0</v>
      </c>
      <c r="J146" s="36" t="n">
        <f aca="false">-MAX(0,J145)*Premissas!$B$11</f>
        <v>-0</v>
      </c>
      <c r="K146" s="36" t="n">
        <f aca="false">-MAX(0,K145)*Premissas!$B$11</f>
        <v>-0</v>
      </c>
      <c r="L146" s="36" t="n">
        <f aca="false">-MAX(0,L145)*Premissas!$B$11</f>
        <v>-0</v>
      </c>
      <c r="M146" s="36" t="n">
        <f aca="false">-MAX(0,M145)*Premissas!$B$11</f>
        <v>-0</v>
      </c>
      <c r="N146" s="36" t="n">
        <f aca="false">-MAX(0,N145)*Premissas!$B$11</f>
        <v>-0</v>
      </c>
      <c r="O146" s="36" t="n">
        <f aca="false">-MAX(0,O145)*Premissas!$B$11</f>
        <v>-0</v>
      </c>
      <c r="P146" s="3"/>
    </row>
    <row r="147" customFormat="false" ht="15" hidden="false" customHeight="false" outlineLevel="0" collapsed="false">
      <c r="A147" s="3"/>
      <c r="B147" s="4" t="s">
        <v>417</v>
      </c>
      <c r="C147" s="36" t="n">
        <f aca="false">-(IF(C$128=3,Premissas!$C$80,0)+IF(C$128=5,Premissas!$C$81,0)+IF(C$128=8,Premissas!$C$82,0)+IF(C$128=10,Premissas!$C$83,0))*C134</f>
        <v>-0</v>
      </c>
      <c r="D147" s="36" t="n">
        <f aca="false">-(IF(D$128=3,Premissas!$C$80,0)+IF(D$128=5,Premissas!$C$81,0)+IF(D$128=8,Premissas!$C$82,0)+IF(D$128=10,Premissas!$C$83,0))*D134</f>
        <v>-0</v>
      </c>
      <c r="E147" s="36" t="n">
        <f aca="false">-(IF(E$128=3,Premissas!$C$80,0)+IF(E$128=5,Premissas!$C$81,0)+IF(E$128=8,Premissas!$C$82,0)+IF(E$128=10,Premissas!$C$83,0))*E134</f>
        <v>-0</v>
      </c>
      <c r="F147" s="36" t="n">
        <f aca="false">-(IF(F$128=3,Premissas!$C$80,0)+IF(F$128=5,Premissas!$C$81,0)+IF(F$128=8,Premissas!$C$82,0)+IF(F$128=10,Premissas!$C$83,0))*F134</f>
        <v>-0</v>
      </c>
      <c r="G147" s="36" t="n">
        <f aca="false">-(IF(G$128=3,Premissas!$C$80,0)+IF(G$128=5,Premissas!$C$81,0)+IF(G$128=8,Premissas!$C$82,0)+IF(G$128=10,Premissas!$C$83,0))*G134</f>
        <v>-0</v>
      </c>
      <c r="H147" s="36" t="n">
        <f aca="false">-(IF(H$128=3,Premissas!$C$80,0)+IF(H$128=5,Premissas!$C$81,0)+IF(H$128=8,Premissas!$C$82,0)+IF(H$128=10,Premissas!$C$83,0))*H134</f>
        <v>-477405</v>
      </c>
      <c r="I147" s="36" t="n">
        <f aca="false">-(IF(I$128=3,Premissas!$C$80,0)+IF(I$128=5,Premissas!$C$81,0)+IF(I$128=8,Premissas!$C$82,0)+IF(I$128=10,Premissas!$C$83,0))*I134</f>
        <v>-0</v>
      </c>
      <c r="J147" s="36" t="n">
        <f aca="false">-(IF(J$128=3,Premissas!$C$80,0)+IF(J$128=5,Premissas!$C$81,0)+IF(J$128=8,Premissas!$C$82,0)+IF(J$128=10,Premissas!$C$83,0))*J134</f>
        <v>-1125508.81</v>
      </c>
      <c r="K147" s="36" t="n">
        <f aca="false">-(IF(K$128=3,Premissas!$C$80,0)+IF(K$128=5,Premissas!$C$81,0)+IF(K$128=8,Premissas!$C$82,0)+IF(K$128=10,Premissas!$C$83,0))*K134</f>
        <v>-0</v>
      </c>
      <c r="L147" s="36" t="n">
        <f aca="false">-(IF(L$128=3,Premissas!$C$80,0)+IF(L$128=5,Premissas!$C$81,0)+IF(L$128=8,Premissas!$C$82,0)+IF(L$128=10,Premissas!$C$83,0))*L134</f>
        <v>-0</v>
      </c>
      <c r="M147" s="36" t="n">
        <f aca="false">-(IF(M$128=3,Premissas!$C$80,0)+IF(M$128=5,Premissas!$C$81,0)+IF(M$128=8,Premissas!$C$82,0)+IF(M$128=10,Premissas!$C$83,0))*M134</f>
        <v>-614936.932712435</v>
      </c>
      <c r="N147" s="36" t="n">
        <f aca="false">-(IF(N$128=3,Premissas!$C$80,0)+IF(N$128=5,Premissas!$C$81,0)+IF(N$128=8,Premissas!$C$82,0)+IF(N$128=10,Premissas!$C$83,0))*N134</f>
        <v>-0</v>
      </c>
      <c r="O147" s="36" t="n">
        <f aca="false">-(IF(O$128=3,Premissas!$C$80,0)+IF(O$128=5,Premissas!$C$81,0)+IF(O$128=8,Premissas!$C$82,0)+IF(O$128=10,Premissas!$C$83,0))*O134</f>
        <v>-1435250.50221217</v>
      </c>
      <c r="P147" s="3"/>
    </row>
    <row r="148" customFormat="false" ht="15" hidden="false" customHeight="false" outlineLevel="0" collapsed="false">
      <c r="A148" s="3"/>
      <c r="B148" s="4" t="s">
        <v>418</v>
      </c>
      <c r="C148" s="36" t="n">
        <f aca="false">-IF(C$128&gt;=1,Premissas!$C$52*(Premissas!$C$84+IF(C$128=6,Premissas!$C$85,0))*C134,0)</f>
        <v>-0</v>
      </c>
      <c r="D148" s="36" t="n">
        <f aca="false">-IF(D$128&gt;=1,Premissas!$C$52*(Premissas!$C$84+IF(D$128=6,Premissas!$C$85,0))*D134,0)</f>
        <v>-0</v>
      </c>
      <c r="E148" s="36" t="n">
        <f aca="false">-IF(E$128&gt;=1,Premissas!$C$52*(Premissas!$C$84+IF(E$128=6,Premissas!$C$85,0))*E134,0)</f>
        <v>-0</v>
      </c>
      <c r="F148" s="36" t="n">
        <f aca="false">-IF(F$128&gt;=1,Premissas!$C$52*(Premissas!$C$84+IF(F$128=6,Premissas!$C$85,0))*F134,0)</f>
        <v>-214000</v>
      </c>
      <c r="G148" s="36" t="n">
        <f aca="false">-IF(G$128&gt;=1,Premissas!$C$52*(Premissas!$C$84+IF(G$128=6,Premissas!$C$85,0))*G134,0)</f>
        <v>-220420</v>
      </c>
      <c r="H148" s="36" t="n">
        <f aca="false">-IF(H$128&gt;=1,Premissas!$C$52*(Premissas!$C$84+IF(H$128=6,Premissas!$C$85,0))*H134,0)</f>
        <v>-227032.6</v>
      </c>
      <c r="I148" s="36" t="n">
        <f aca="false">-IF(I$128&gt;=1,Premissas!$C$52*(Premissas!$C$84+IF(I$128=6,Premissas!$C$85,0))*I134,0)</f>
        <v>-233843.578</v>
      </c>
      <c r="J148" s="36" t="n">
        <f aca="false">-IF(J$128&gt;=1,Premissas!$C$52*(Premissas!$C$84+IF(J$128=6,Premissas!$C$85,0))*J134,0)</f>
        <v>-240858.88534</v>
      </c>
      <c r="K148" s="36" t="n">
        <f aca="false">-IF(K$128&gt;=1,Premissas!$C$52*(Premissas!$C$84+IF(K$128=6,Premissas!$C$85,0))*K134,0)</f>
        <v>-1240423.259501</v>
      </c>
      <c r="L148" s="36" t="n">
        <f aca="false">-IF(L$128&gt;=1,Premissas!$C$52*(Premissas!$C$84+IF(L$128=6,Premissas!$C$85,0))*L134,0)</f>
        <v>-255527.191457206</v>
      </c>
      <c r="M148" s="36" t="n">
        <f aca="false">-IF(M$128&gt;=1,Premissas!$C$52*(Premissas!$C$84+IF(M$128=6,Premissas!$C$85,0))*M134,0)</f>
        <v>-263193.007200922</v>
      </c>
      <c r="N148" s="36" t="n">
        <f aca="false">-IF(N$128&gt;=1,Premissas!$C$52*(Premissas!$C$84+IF(N$128=6,Premissas!$C$85,0))*N134,0)</f>
        <v>-271088.79741695</v>
      </c>
      <c r="O148" s="36" t="n">
        <f aca="false">-IF(O$128&gt;=1,Premissas!$C$52*(Premissas!$C$84+IF(O$128=6,Premissas!$C$85,0))*O134,0)</f>
        <v>-279221.461339458</v>
      </c>
      <c r="P148" s="3"/>
    </row>
    <row r="149" customFormat="false" ht="15" hidden="false" customHeight="false" outlineLevel="0" collapsed="false">
      <c r="A149" s="3"/>
      <c r="B149" s="4" t="s">
        <v>419</v>
      </c>
      <c r="C149" s="36" t="n">
        <f aca="false">-Premissas!$C$52*Premissas!$C$53</f>
        <v>-0</v>
      </c>
      <c r="D149" s="36" t="n">
        <f aca="false">-Premissas!$C$52*Premissas!$C$54</f>
        <v>-0</v>
      </c>
      <c r="E149" s="36" t="n">
        <f aca="false">-Premissas!$C$52*Premissas!$C$55</f>
        <v>-21400000</v>
      </c>
      <c r="F149" s="36" t="n">
        <v>0</v>
      </c>
      <c r="G149" s="36" t="n">
        <v>0</v>
      </c>
      <c r="H149" s="36" t="n">
        <v>0</v>
      </c>
      <c r="I149" s="36" t="n">
        <v>0</v>
      </c>
      <c r="J149" s="36" t="n">
        <v>0</v>
      </c>
      <c r="K149" s="36" t="n">
        <v>0</v>
      </c>
      <c r="L149" s="36" t="n">
        <v>0</v>
      </c>
      <c r="M149" s="36" t="n">
        <v>0</v>
      </c>
      <c r="N149" s="36" t="n">
        <v>0</v>
      </c>
      <c r="O149" s="36" t="n">
        <v>0</v>
      </c>
      <c r="P149" s="3"/>
    </row>
    <row r="150" customFormat="false" ht="15" hidden="false" customHeight="false" outlineLevel="0" collapsed="false">
      <c r="A150" s="3"/>
      <c r="B150" s="4" t="s">
        <v>420</v>
      </c>
      <c r="C150" s="36" t="n">
        <f aca="false">IF(C$128=10,Premissas!$C$52*Premissas!$B$36,0)</f>
        <v>0</v>
      </c>
      <c r="D150" s="36" t="n">
        <f aca="false">IF(D$128=10,Premissas!$C$52*Premissas!$B$36,0)</f>
        <v>0</v>
      </c>
      <c r="E150" s="36" t="n">
        <f aca="false">IF(E$128=10,Premissas!$C$52*Premissas!$B$36,0)</f>
        <v>0</v>
      </c>
      <c r="F150" s="36" t="n">
        <f aca="false">IF(F$128=10,Premissas!$C$52*Premissas!$B$36,0)</f>
        <v>0</v>
      </c>
      <c r="G150" s="36" t="n">
        <f aca="false">IF(G$128=10,Premissas!$C$52*Premissas!$B$36,0)</f>
        <v>0</v>
      </c>
      <c r="H150" s="36" t="n">
        <f aca="false">IF(H$128=10,Premissas!$C$52*Premissas!$B$36,0)</f>
        <v>0</v>
      </c>
      <c r="I150" s="36" t="n">
        <f aca="false">IF(I$128=10,Premissas!$C$52*Premissas!$B$36,0)</f>
        <v>0</v>
      </c>
      <c r="J150" s="36" t="n">
        <f aca="false">IF(J$128=10,Premissas!$C$52*Premissas!$B$36,0)</f>
        <v>0</v>
      </c>
      <c r="K150" s="36" t="n">
        <f aca="false">IF(K$128=10,Premissas!$C$52*Premissas!$B$36,0)</f>
        <v>0</v>
      </c>
      <c r="L150" s="36" t="n">
        <f aca="false">IF(L$128=10,Premissas!$C$52*Premissas!$B$36,0)</f>
        <v>0</v>
      </c>
      <c r="M150" s="36" t="n">
        <f aca="false">IF(M$128=10,Premissas!$C$52*Premissas!$B$36,0)</f>
        <v>0</v>
      </c>
      <c r="N150" s="36" t="n">
        <f aca="false">IF(N$128=10,Premissas!$C$52*Premissas!$B$36,0)</f>
        <v>0</v>
      </c>
      <c r="O150" s="36" t="n">
        <f aca="false">IF(O$128=10,Premissas!$C$52*Premissas!$B$36,0)</f>
        <v>8560000</v>
      </c>
      <c r="P150" s="3"/>
    </row>
    <row r="151" customFormat="false" ht="15" hidden="false" customHeight="false" outlineLevel="0" collapsed="false">
      <c r="A151" s="3"/>
      <c r="B151" s="14" t="s">
        <v>421</v>
      </c>
      <c r="C151" s="33" t="n">
        <f aca="false">C142+C146+C147+C148+C149+C150</f>
        <v>0</v>
      </c>
      <c r="D151" s="33" t="n">
        <f aca="false">D142+D146+D147+D148+D149+D150</f>
        <v>0</v>
      </c>
      <c r="E151" s="33" t="n">
        <f aca="false">E142+E146+E147+E148+E149+E150</f>
        <v>-21400000</v>
      </c>
      <c r="F151" s="33" t="n">
        <f aca="false">F142+F146+F147+F148+F149+F150</f>
        <v>-1816177.51304348</v>
      </c>
      <c r="G151" s="33" t="n">
        <f aca="false">G142+G146+G147+G148+G149+G150</f>
        <v>-1140912.63391304</v>
      </c>
      <c r="H151" s="33" t="n">
        <f aca="false">H142+H146+H147+H148+H149+H150</f>
        <v>-1674755.19673044</v>
      </c>
      <c r="I151" s="33" t="n">
        <f aca="false">I142+I146+I147+I148+I149+I150</f>
        <v>-1256036.14102735</v>
      </c>
      <c r="J151" s="33" t="n">
        <f aca="false">J142+J146+J147+J148+J149+J150</f>
        <v>-2442560.60961305</v>
      </c>
      <c r="K151" s="33" t="n">
        <f aca="false">K142+K146+K147+K148+K149+K150</f>
        <v>-2372819.89991599</v>
      </c>
      <c r="L151" s="33" t="n">
        <f aca="false">L142+L146+L147+L148+L149+L150</f>
        <v>-1446411.61826623</v>
      </c>
      <c r="M151" s="33" t="n">
        <f aca="false">M142+M146+M147+M148+M149+M150</f>
        <v>-2129869.68388778</v>
      </c>
      <c r="N151" s="33" t="n">
        <f aca="false">N142+N146+N147+N148+N149+N150</f>
        <v>-1586137.73768077</v>
      </c>
      <c r="O151" s="33" t="n">
        <f aca="false">O142+O146+O147+O148+O149+O150</f>
        <v>5464626.69890722</v>
      </c>
      <c r="P151" s="3"/>
    </row>
    <row r="152" customFormat="false" ht="15" hidden="false" customHeight="false" outlineLevel="0" collapsed="false">
      <c r="A152" s="3"/>
      <c r="B152" s="4" t="s">
        <v>422</v>
      </c>
      <c r="C152" s="36" t="n">
        <f aca="false">C151-C150</f>
        <v>0</v>
      </c>
      <c r="D152" s="36" t="n">
        <f aca="false">C152+D151-D150</f>
        <v>0</v>
      </c>
      <c r="E152" s="36" t="n">
        <f aca="false">D152+E151-E150</f>
        <v>-21400000</v>
      </c>
      <c r="F152" s="36" t="n">
        <f aca="false">E152+F151-F150</f>
        <v>-23216177.5130435</v>
      </c>
      <c r="G152" s="36" t="n">
        <f aca="false">F152+G151-G150</f>
        <v>-24357090.1469565</v>
      </c>
      <c r="H152" s="36" t="n">
        <f aca="false">G152+H151-H150</f>
        <v>-26031845.343687</v>
      </c>
      <c r="I152" s="36" t="n">
        <f aca="false">H152+I151-I150</f>
        <v>-27287881.4847143</v>
      </c>
      <c r="J152" s="36" t="n">
        <f aca="false">I152+J151-J150</f>
        <v>-29730442.0943274</v>
      </c>
      <c r="K152" s="36" t="n">
        <f aca="false">J152+K151-K150</f>
        <v>-32103261.9942433</v>
      </c>
      <c r="L152" s="36" t="n">
        <f aca="false">K152+L151-L150</f>
        <v>-33549673.6125096</v>
      </c>
      <c r="M152" s="36" t="n">
        <f aca="false">L152+M151-M150</f>
        <v>-35679543.2963974</v>
      </c>
      <c r="N152" s="36" t="n">
        <f aca="false">M152+N151-N150</f>
        <v>-37265681.0340781</v>
      </c>
      <c r="O152" s="36" t="n">
        <f aca="false">N152+O151-O150</f>
        <v>-40361054.3351709</v>
      </c>
      <c r="P152" s="3"/>
    </row>
    <row r="153" customFormat="false" ht="15" hidden="false" customHeight="false" outlineLevel="0" collapsed="false">
      <c r="A153" s="3"/>
      <c r="B153" s="6" t="s">
        <v>423</v>
      </c>
      <c r="C153" s="46" t="n">
        <v>0</v>
      </c>
      <c r="D153" s="46" t="n">
        <v>0</v>
      </c>
      <c r="E153" s="46" t="n">
        <v>0</v>
      </c>
      <c r="F153" s="46" t="n">
        <f aca="false">IF(AND(E152&lt;0,F152&gt;=0),F$128-1+(-E152)/(F151-F150),0)</f>
        <v>0</v>
      </c>
      <c r="G153" s="46" t="n">
        <f aca="false">IF(AND(F152&lt;0,G152&gt;=0),G$128-1+(-F152)/(G151-G150),0)</f>
        <v>0</v>
      </c>
      <c r="H153" s="46" t="n">
        <f aca="false">IF(AND(G152&lt;0,H152&gt;=0),H$128-1+(-G152)/(H151-H150),0)</f>
        <v>0</v>
      </c>
      <c r="I153" s="46" t="n">
        <f aca="false">IF(AND(H152&lt;0,I152&gt;=0),I$128-1+(-H152)/(I151-I150),0)</f>
        <v>0</v>
      </c>
      <c r="J153" s="46" t="n">
        <f aca="false">IF(AND(I152&lt;0,J152&gt;=0),J$128-1+(-I152)/(J151-J150),0)</f>
        <v>0</v>
      </c>
      <c r="K153" s="46" t="n">
        <f aca="false">IF(AND(J152&lt;0,K152&gt;=0),K$128-1+(-J152)/(K151-K150),0)</f>
        <v>0</v>
      </c>
      <c r="L153" s="46" t="n">
        <f aca="false">IF(AND(K152&lt;0,L152&gt;=0),L$128-1+(-K152)/(L151-L150),0)</f>
        <v>0</v>
      </c>
      <c r="M153" s="46" t="n">
        <f aca="false">IF(AND(L152&lt;0,M152&gt;=0),M$128-1+(-L152)/(M151-M150),0)</f>
        <v>0</v>
      </c>
      <c r="N153" s="46" t="n">
        <f aca="false">IF(AND(M152&lt;0,N152&gt;=0),N$128-1+(-M152)/(N151-N150),0)</f>
        <v>0</v>
      </c>
      <c r="O153" s="46" t="n">
        <f aca="false">IF(AND(N152&lt;0,O152&gt;=0),O$128-1+(-N152)/(O151-O150),0)</f>
        <v>0</v>
      </c>
      <c r="P153" s="3"/>
    </row>
    <row r="154" customFormat="false" ht="15" hidden="false" customHeight="false" outlineLevel="0" collapsed="false">
      <c r="A154" s="3"/>
      <c r="B154" s="14" t="s">
        <v>424</v>
      </c>
      <c r="C154" s="47" t="str">
        <f aca="false">IFERROR(IRR(C151:O151,0.05),IFERROR(IRR(C151:O151,-0.05),IF(SUM(C151:O151)&lt;0,"negativa","n/d")))</f>
        <v>negativa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customFormat="false" ht="15" hidden="false" customHeight="false" outlineLevel="0" collapsed="false">
      <c r="A155" s="3"/>
      <c r="B155" s="14" t="s">
        <v>425</v>
      </c>
      <c r="C155" s="48" t="n">
        <f aca="false">C151*(1+Premissas!$B$10)^2+D151*(1+Premissas!$B$10)+E151+NPV(Premissas!$B$10,F151:O151)</f>
        <v>-29267829.2357576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customFormat="false" ht="15" hidden="false" customHeight="false" outlineLevel="0" collapsed="false">
      <c r="A156" s="3"/>
      <c r="B156" s="14" t="s">
        <v>426</v>
      </c>
      <c r="C156" s="49" t="str">
        <f aca="false">IF(SUM(F153:O153)=0,"&gt; 10",SUM(F153:O153))</f>
        <v>&gt; 10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customFormat="false" ht="15" hidden="false" customHeight="false" outlineLevel="0" collapsed="false">
      <c r="A157" s="3"/>
      <c r="B157" s="14" t="s">
        <v>427</v>
      </c>
      <c r="C157" s="47" t="n">
        <f aca="false">SUM(C151:O151)/-SUM(C149:E149)</f>
        <v>-1.48603057640986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customFormat="false" ht="15" hidden="false" customHeight="false" outlineLevel="0" collapsed="false">
      <c r="A158" s="3"/>
      <c r="B158" s="14" t="s">
        <v>428</v>
      </c>
      <c r="C158" s="47" t="n">
        <f aca="false">AVERAGE(F145:O145)*(1-Premissas!$B$11)/-SUM(C149:E149)</f>
        <v>-0.0761848002083827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customFormat="false" ht="15" hidden="false" customHeight="false" outlineLevel="0" collapsed="false">
      <c r="A159" s="3"/>
      <c r="B159" s="14" t="s">
        <v>429</v>
      </c>
      <c r="C159" s="48" t="n">
        <f aca="false">H142</f>
        <v>-970317.596730436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" hidden="false" customHeight="false" outlineLevel="0" collapsed="false">
      <c r="A160" s="3"/>
      <c r="B160" s="14" t="s">
        <v>430</v>
      </c>
      <c r="C160" s="48" t="n">
        <f aca="false">H139</f>
        <v>4553087.679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" hidden="false" customHeight="false" outlineLevel="0" collapsed="false">
      <c r="A161" s="3"/>
      <c r="B161" s="14" t="s">
        <v>431</v>
      </c>
      <c r="C161" s="47" t="n">
        <f aca="false">H143</f>
        <v>-0.213111994571461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" hidden="false" customHeight="false" outlineLevel="0" collapsed="false">
      <c r="A162" s="3"/>
      <c r="B162" s="14" t="s">
        <v>432</v>
      </c>
      <c r="C162" s="48" t="n">
        <f aca="false">-(H140+H141)</f>
        <v>5523405.27573044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" hidden="false" customHeight="false" outlineLevel="0" collapsed="false">
      <c r="A163" s="3"/>
      <c r="B163" s="14" t="s">
        <v>433</v>
      </c>
      <c r="C163" s="50" t="n">
        <f aca="false">IFERROR(-H141/((H139+H140)/H129),"n/d")</f>
        <v>26.3417051565556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customFormat="false" ht="15" hidden="false" customHeight="false" outlineLevel="0" collapsed="false">
      <c r="A164" s="3"/>
      <c r="B164" s="14" t="s">
        <v>434</v>
      </c>
      <c r="C164" s="48" t="n">
        <f aca="false">-SUM(C149:E149)</f>
        <v>21400000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customFormat="false" ht="15" hidden="false" customHeight="false" outlineLevel="0" collapsed="false">
      <c r="A165" s="3"/>
      <c r="B165" s="14" t="s">
        <v>435</v>
      </c>
      <c r="C165" s="48" t="n">
        <f aca="false">O150</f>
        <v>8560000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customFormat="false" ht="15" hidden="false" customHeight="false" outlineLevel="0" collapsed="false">
      <c r="A168" s="3"/>
      <c r="B168" s="19" t="s">
        <v>439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customFormat="false" ht="15" hidden="false" customHeight="false" outlineLevel="0" collapsed="false">
      <c r="A169" s="3"/>
      <c r="B169" s="14" t="s">
        <v>398</v>
      </c>
      <c r="C169" s="44" t="n">
        <v>-2</v>
      </c>
      <c r="D169" s="44" t="n">
        <v>-1</v>
      </c>
      <c r="E169" s="44" t="n">
        <v>0</v>
      </c>
      <c r="F169" s="44" t="n">
        <v>1</v>
      </c>
      <c r="G169" s="44" t="n">
        <v>2</v>
      </c>
      <c r="H169" s="44" t="n">
        <v>3</v>
      </c>
      <c r="I169" s="44" t="n">
        <v>4</v>
      </c>
      <c r="J169" s="44" t="n">
        <v>5</v>
      </c>
      <c r="K169" s="44" t="n">
        <v>6</v>
      </c>
      <c r="L169" s="44" t="n">
        <v>7</v>
      </c>
      <c r="M169" s="44" t="n">
        <v>8</v>
      </c>
      <c r="N169" s="44" t="n">
        <v>9</v>
      </c>
      <c r="O169" s="44" t="n">
        <v>10</v>
      </c>
      <c r="P169" s="3"/>
    </row>
    <row r="170" customFormat="false" ht="15" hidden="false" customHeight="false" outlineLevel="0" collapsed="false">
      <c r="A170" s="3"/>
      <c r="B170" s="4" t="s">
        <v>399</v>
      </c>
      <c r="C170" s="39" t="n">
        <f aca="false">IF(C$169&gt;=1,Premissas!$C$29*IF(C$169=1,Premissas!$C$37,1),0)</f>
        <v>0</v>
      </c>
      <c r="D170" s="39" t="n">
        <f aca="false">IF(D$169&gt;=1,Premissas!$C$29*IF(D$169=1,Premissas!$C$37,1),0)</f>
        <v>0</v>
      </c>
      <c r="E170" s="39" t="n">
        <f aca="false">IF(E$169&gt;=1,Premissas!$C$29*IF(E$169=1,Premissas!$C$37,1),0)</f>
        <v>0</v>
      </c>
      <c r="F170" s="39" t="n">
        <f aca="false">IF(F$169&gt;=1,Premissas!$C$29*IF(F$169=1,Premissas!$C$37,1),0)</f>
        <v>22.1</v>
      </c>
      <c r="G170" s="39" t="n">
        <f aca="false">IF(G$169&gt;=1,Premissas!$C$29*IF(G$169=1,Premissas!$C$37,1),0)</f>
        <v>26</v>
      </c>
      <c r="H170" s="39" t="n">
        <f aca="false">IF(H$169&gt;=1,Premissas!$C$29*IF(H$169=1,Premissas!$C$37,1),0)</f>
        <v>26</v>
      </c>
      <c r="I170" s="39" t="n">
        <f aca="false">IF(I$169&gt;=1,Premissas!$C$29*IF(I$169=1,Premissas!$C$37,1),0)</f>
        <v>26</v>
      </c>
      <c r="J170" s="39" t="n">
        <f aca="false">IF(J$169&gt;=1,Premissas!$C$29*IF(J$169=1,Premissas!$C$37,1),0)</f>
        <v>26</v>
      </c>
      <c r="K170" s="39" t="n">
        <f aca="false">IF(K$169&gt;=1,Premissas!$C$29*IF(K$169=1,Premissas!$C$37,1),0)</f>
        <v>26</v>
      </c>
      <c r="L170" s="39" t="n">
        <f aca="false">IF(L$169&gt;=1,Premissas!$C$29*IF(L$169=1,Premissas!$C$37,1),0)</f>
        <v>26</v>
      </c>
      <c r="M170" s="39" t="n">
        <f aca="false">IF(M$169&gt;=1,Premissas!$C$29*IF(M$169=1,Premissas!$C$37,1),0)</f>
        <v>26</v>
      </c>
      <c r="N170" s="39" t="n">
        <f aca="false">IF(N$169&gt;=1,Premissas!$C$29*IF(N$169=1,Premissas!$C$37,1),0)</f>
        <v>26</v>
      </c>
      <c r="O170" s="39" t="n">
        <f aca="false">IF(O$169&gt;=1,Premissas!$C$29*IF(O$169=1,Premissas!$C$37,1),0)</f>
        <v>26</v>
      </c>
      <c r="P170" s="3"/>
    </row>
    <row r="171" customFormat="false" ht="15" hidden="false" customHeight="false" outlineLevel="0" collapsed="false">
      <c r="A171" s="3"/>
      <c r="B171" s="4" t="s">
        <v>400</v>
      </c>
      <c r="C171" s="39" t="n">
        <f aca="false">MIN(C170,Premissas!$C$30)</f>
        <v>0</v>
      </c>
      <c r="D171" s="39" t="n">
        <f aca="false">MIN(D170,Premissas!$C$30)</f>
        <v>0</v>
      </c>
      <c r="E171" s="39" t="n">
        <f aca="false">MIN(E170,Premissas!$C$30)</f>
        <v>0</v>
      </c>
      <c r="F171" s="39" t="n">
        <f aca="false">MIN(F170,Premissas!$C$30)</f>
        <v>8</v>
      </c>
      <c r="G171" s="39" t="n">
        <f aca="false">MIN(G170,Premissas!$C$30)</f>
        <v>8</v>
      </c>
      <c r="H171" s="39" t="n">
        <f aca="false">MIN(H170,Premissas!$C$30)</f>
        <v>8</v>
      </c>
      <c r="I171" s="39" t="n">
        <f aca="false">MIN(I170,Premissas!$C$30)</f>
        <v>8</v>
      </c>
      <c r="J171" s="39" t="n">
        <f aca="false">MIN(J170,Premissas!$C$30)</f>
        <v>8</v>
      </c>
      <c r="K171" s="39" t="n">
        <f aca="false">MIN(K170,Premissas!$C$30)</f>
        <v>8</v>
      </c>
      <c r="L171" s="39" t="n">
        <f aca="false">MIN(L170,Premissas!$C$30)</f>
        <v>8</v>
      </c>
      <c r="M171" s="39" t="n">
        <f aca="false">MIN(M170,Premissas!$C$30)</f>
        <v>8</v>
      </c>
      <c r="N171" s="39" t="n">
        <f aca="false">MIN(N170,Premissas!$C$30)</f>
        <v>8</v>
      </c>
      <c r="O171" s="39" t="n">
        <f aca="false">MIN(O170,Premissas!$C$30)</f>
        <v>8</v>
      </c>
      <c r="P171" s="3"/>
    </row>
    <row r="172" customFormat="false" ht="15" hidden="false" customHeight="false" outlineLevel="0" collapsed="false">
      <c r="A172" s="3"/>
      <c r="B172" s="4" t="s">
        <v>401</v>
      </c>
      <c r="C172" s="39" t="n">
        <f aca="false">MIN(C170-C171,Premissas!$C$31)</f>
        <v>0</v>
      </c>
      <c r="D172" s="39" t="n">
        <f aca="false">MIN(D170-D171,Premissas!$C$31)</f>
        <v>0</v>
      </c>
      <c r="E172" s="39" t="n">
        <f aca="false">MIN(E170-E171,Premissas!$C$31)</f>
        <v>0</v>
      </c>
      <c r="F172" s="39" t="n">
        <f aca="false">MIN(F170-F171,Premissas!$C$31)</f>
        <v>4</v>
      </c>
      <c r="G172" s="39" t="n">
        <f aca="false">MIN(G170-G171,Premissas!$C$31)</f>
        <v>4</v>
      </c>
      <c r="H172" s="39" t="n">
        <f aca="false">MIN(H170-H171,Premissas!$C$31)</f>
        <v>4</v>
      </c>
      <c r="I172" s="39" t="n">
        <f aca="false">MIN(I170-I171,Premissas!$C$31)</f>
        <v>4</v>
      </c>
      <c r="J172" s="39" t="n">
        <f aca="false">MIN(J170-J171,Premissas!$C$31)</f>
        <v>4</v>
      </c>
      <c r="K172" s="39" t="n">
        <f aca="false">MIN(K170-K171,Premissas!$C$31)</f>
        <v>4</v>
      </c>
      <c r="L172" s="39" t="n">
        <f aca="false">MIN(L170-L171,Premissas!$C$31)</f>
        <v>4</v>
      </c>
      <c r="M172" s="39" t="n">
        <f aca="false">MIN(M170-M171,Premissas!$C$31)</f>
        <v>4</v>
      </c>
      <c r="N172" s="39" t="n">
        <f aca="false">MIN(N170-N171,Premissas!$C$31)</f>
        <v>4</v>
      </c>
      <c r="O172" s="39" t="n">
        <f aca="false">MIN(O170-O171,Premissas!$C$31)</f>
        <v>4</v>
      </c>
      <c r="P172" s="3"/>
    </row>
    <row r="173" customFormat="false" ht="15" hidden="false" customHeight="false" outlineLevel="0" collapsed="false">
      <c r="A173" s="3"/>
      <c r="B173" s="4" t="s">
        <v>402</v>
      </c>
      <c r="C173" s="39" t="n">
        <f aca="false">C170-C171-C172</f>
        <v>0</v>
      </c>
      <c r="D173" s="39" t="n">
        <f aca="false">D170-D171-D172</f>
        <v>0</v>
      </c>
      <c r="E173" s="39" t="n">
        <f aca="false">E170-E171-E172</f>
        <v>0</v>
      </c>
      <c r="F173" s="39" t="n">
        <f aca="false">F170-F171-F172</f>
        <v>10.1</v>
      </c>
      <c r="G173" s="39" t="n">
        <f aca="false">G170-G171-G172</f>
        <v>14</v>
      </c>
      <c r="H173" s="39" t="n">
        <f aca="false">H170-H171-H172</f>
        <v>14</v>
      </c>
      <c r="I173" s="39" t="n">
        <f aca="false">I170-I171-I172</f>
        <v>14</v>
      </c>
      <c r="J173" s="39" t="n">
        <f aca="false">J170-J171-J172</f>
        <v>14</v>
      </c>
      <c r="K173" s="39" t="n">
        <f aca="false">K170-K171-K172</f>
        <v>14</v>
      </c>
      <c r="L173" s="39" t="n">
        <f aca="false">L170-L171-L172</f>
        <v>14</v>
      </c>
      <c r="M173" s="39" t="n">
        <f aca="false">M170-M171-M172</f>
        <v>14</v>
      </c>
      <c r="N173" s="39" t="n">
        <f aca="false">N170-N171-N172</f>
        <v>14</v>
      </c>
      <c r="O173" s="39" t="n">
        <f aca="false">O170-O171-O172</f>
        <v>14</v>
      </c>
      <c r="P173" s="3"/>
    </row>
    <row r="174" customFormat="false" ht="15" hidden="false" customHeight="false" outlineLevel="0" collapsed="false">
      <c r="A174" s="3"/>
      <c r="B174" s="4" t="s">
        <v>403</v>
      </c>
      <c r="C174" s="45" t="n">
        <f aca="false">IF(C$169&gt;=1,(1+Premissas!$B$8)^(C$169-1),0)</f>
        <v>0</v>
      </c>
      <c r="D174" s="45" t="n">
        <f aca="false">IF(D$169&gt;=1,(1+Premissas!$B$8)^(D$169-1),0)</f>
        <v>0</v>
      </c>
      <c r="E174" s="45" t="n">
        <f aca="false">IF(E$169&gt;=1,(1+Premissas!$B$8)^(E$169-1),0)</f>
        <v>0</v>
      </c>
      <c r="F174" s="45" t="n">
        <f aca="false">IF(F$169&gt;=1,(1+Premissas!$B$8)^(F$169-1),0)</f>
        <v>1</v>
      </c>
      <c r="G174" s="45" t="n">
        <f aca="false">IF(G$169&gt;=1,(1+Premissas!$B$8)^(G$169-1),0)</f>
        <v>1.025</v>
      </c>
      <c r="H174" s="45" t="n">
        <f aca="false">IF(H$169&gt;=1,(1+Premissas!$B$8)^(H$169-1),0)</f>
        <v>1.050625</v>
      </c>
      <c r="I174" s="45" t="n">
        <f aca="false">IF(I$169&gt;=1,(1+Premissas!$B$8)^(I$169-1),0)</f>
        <v>1.076890625</v>
      </c>
      <c r="J174" s="45" t="n">
        <f aca="false">IF(J$169&gt;=1,(1+Premissas!$B$8)^(J$169-1),0)</f>
        <v>1.103812890625</v>
      </c>
      <c r="K174" s="45" t="n">
        <f aca="false">IF(K$169&gt;=1,(1+Premissas!$B$8)^(K$169-1),0)</f>
        <v>1.13140821289062</v>
      </c>
      <c r="L174" s="45" t="n">
        <f aca="false">IF(L$169&gt;=1,(1+Premissas!$B$8)^(L$169-1),0)</f>
        <v>1.15969341821289</v>
      </c>
      <c r="M174" s="45" t="n">
        <f aca="false">IF(M$169&gt;=1,(1+Premissas!$B$8)^(M$169-1),0)</f>
        <v>1.18868575366821</v>
      </c>
      <c r="N174" s="45" t="n">
        <f aca="false">IF(N$169&gt;=1,(1+Premissas!$B$8)^(N$169-1),0)</f>
        <v>1.21840289750992</v>
      </c>
      <c r="O174" s="45" t="n">
        <f aca="false">IF(O$169&gt;=1,(1+Premissas!$B$8)^(O$169-1),0)</f>
        <v>1.24886296994767</v>
      </c>
      <c r="P174" s="3"/>
    </row>
    <row r="175" customFormat="false" ht="15" hidden="false" customHeight="false" outlineLevel="0" collapsed="false">
      <c r="A175" s="3"/>
      <c r="B175" s="4" t="s">
        <v>404</v>
      </c>
      <c r="C175" s="45" t="n">
        <f aca="false">IF(C$169&gt;=1,(1+Premissas!$B$9)^(C$169-1),0)</f>
        <v>0</v>
      </c>
      <c r="D175" s="45" t="n">
        <f aca="false">IF(D$169&gt;=1,(1+Premissas!$B$9)^(D$169-1),0)</f>
        <v>0</v>
      </c>
      <c r="E175" s="45" t="n">
        <f aca="false">IF(E$169&gt;=1,(1+Premissas!$B$9)^(E$169-1),0)</f>
        <v>0</v>
      </c>
      <c r="F175" s="45" t="n">
        <f aca="false">IF(F$169&gt;=1,(1+Premissas!$B$9)^(F$169-1),0)</f>
        <v>1</v>
      </c>
      <c r="G175" s="45" t="n">
        <f aca="false">IF(G$169&gt;=1,(1+Premissas!$B$9)^(G$169-1),0)</f>
        <v>1.03</v>
      </c>
      <c r="H175" s="45" t="n">
        <f aca="false">IF(H$169&gt;=1,(1+Premissas!$B$9)^(H$169-1),0)</f>
        <v>1.0609</v>
      </c>
      <c r="I175" s="45" t="n">
        <f aca="false">IF(I$169&gt;=1,(1+Premissas!$B$9)^(I$169-1),0)</f>
        <v>1.092727</v>
      </c>
      <c r="J175" s="45" t="n">
        <f aca="false">IF(J$169&gt;=1,(1+Premissas!$B$9)^(J$169-1),0)</f>
        <v>1.12550881</v>
      </c>
      <c r="K175" s="45" t="n">
        <f aca="false">IF(K$169&gt;=1,(1+Premissas!$B$9)^(K$169-1),0)</f>
        <v>1.1592740743</v>
      </c>
      <c r="L175" s="45" t="n">
        <f aca="false">IF(L$169&gt;=1,(1+Premissas!$B$9)^(L$169-1),0)</f>
        <v>1.194052296529</v>
      </c>
      <c r="M175" s="45" t="n">
        <f aca="false">IF(M$169&gt;=1,(1+Premissas!$B$9)^(M$169-1),0)</f>
        <v>1.22987386542487</v>
      </c>
      <c r="N175" s="45" t="n">
        <f aca="false">IF(N$169&gt;=1,(1+Premissas!$B$9)^(N$169-1),0)</f>
        <v>1.26677008138762</v>
      </c>
      <c r="O175" s="45" t="n">
        <f aca="false">IF(O$169&gt;=1,(1+Premissas!$B$9)^(O$169-1),0)</f>
        <v>1.30477318382925</v>
      </c>
      <c r="P175" s="3"/>
    </row>
    <row r="176" customFormat="false" ht="15" hidden="false" customHeight="false" outlineLevel="0" collapsed="false">
      <c r="A176" s="3"/>
      <c r="B176" s="4" t="s">
        <v>405</v>
      </c>
      <c r="C176" s="36" t="n">
        <f aca="false">C171*Premissas!$C$77*Premissas!$C$32*C174</f>
        <v>0</v>
      </c>
      <c r="D176" s="36" t="n">
        <f aca="false">D171*Premissas!$C$77*Premissas!$C$32*D174</f>
        <v>0</v>
      </c>
      <c r="E176" s="36" t="n">
        <f aca="false">E171*Premissas!$C$77*Premissas!$C$32*E174</f>
        <v>0</v>
      </c>
      <c r="F176" s="36" t="n">
        <f aca="false">F171*Premissas!$C$77*Premissas!$C$32*F174</f>
        <v>2160000</v>
      </c>
      <c r="G176" s="36" t="n">
        <f aca="false">G171*Premissas!$C$77*Premissas!$C$32*G174</f>
        <v>2214000</v>
      </c>
      <c r="H176" s="36" t="n">
        <f aca="false">H171*Premissas!$C$77*Premissas!$C$32*H174</f>
        <v>2269350</v>
      </c>
      <c r="I176" s="36" t="n">
        <f aca="false">I171*Premissas!$C$77*Premissas!$C$32*I174</f>
        <v>2326083.75</v>
      </c>
      <c r="J176" s="36" t="n">
        <f aca="false">J171*Premissas!$C$77*Premissas!$C$32*J174</f>
        <v>2384235.84375</v>
      </c>
      <c r="K176" s="36" t="n">
        <f aca="false">K171*Premissas!$C$77*Premissas!$C$32*K174</f>
        <v>2443841.73984375</v>
      </c>
      <c r="L176" s="36" t="n">
        <f aca="false">L171*Premissas!$C$77*Premissas!$C$32*L174</f>
        <v>2504937.78333984</v>
      </c>
      <c r="M176" s="36" t="n">
        <f aca="false">M171*Premissas!$C$77*Premissas!$C$32*M174</f>
        <v>2567561.22792334</v>
      </c>
      <c r="N176" s="36" t="n">
        <f aca="false">N171*Premissas!$C$77*Premissas!$C$32*N174</f>
        <v>2631750.25862142</v>
      </c>
      <c r="O176" s="36" t="n">
        <f aca="false">O171*Premissas!$C$77*Premissas!$C$32*O174</f>
        <v>2697544.01508696</v>
      </c>
      <c r="P176" s="3"/>
    </row>
    <row r="177" customFormat="false" ht="15" hidden="false" customHeight="false" outlineLevel="0" collapsed="false">
      <c r="A177" s="3"/>
      <c r="B177" s="4" t="s">
        <v>406</v>
      </c>
      <c r="C177" s="36" t="n">
        <f aca="false">C173*Premissas!$C$77*Premissas!$C$32*(1-Premissas!$B$12)*C174</f>
        <v>0</v>
      </c>
      <c r="D177" s="36" t="n">
        <f aca="false">D173*Premissas!$C$77*Premissas!$C$32*(1-Premissas!$B$12)*D174</f>
        <v>0</v>
      </c>
      <c r="E177" s="36" t="n">
        <f aca="false">E173*Premissas!$C$77*Premissas!$C$32*(1-Premissas!$B$12)*E174</f>
        <v>0</v>
      </c>
      <c r="F177" s="36" t="n">
        <f aca="false">F173*Premissas!$C$77*Premissas!$C$32*(1-Premissas!$B$12)*F174</f>
        <v>2317950</v>
      </c>
      <c r="G177" s="36" t="n">
        <f aca="false">G173*Premissas!$C$77*Premissas!$C$32*(1-Premissas!$B$12)*G174</f>
        <v>3293325</v>
      </c>
      <c r="H177" s="36" t="n">
        <f aca="false">H173*Premissas!$C$77*Premissas!$C$32*(1-Premissas!$B$12)*H174</f>
        <v>3375658.125</v>
      </c>
      <c r="I177" s="36" t="n">
        <f aca="false">I173*Premissas!$C$77*Premissas!$C$32*(1-Premissas!$B$12)*I174</f>
        <v>3460049.578125</v>
      </c>
      <c r="J177" s="36" t="n">
        <f aca="false">J173*Premissas!$C$77*Premissas!$C$32*(1-Premissas!$B$12)*J174</f>
        <v>3546550.81757812</v>
      </c>
      <c r="K177" s="36" t="n">
        <f aca="false">K173*Premissas!$C$77*Premissas!$C$32*(1-Premissas!$B$12)*K174</f>
        <v>3635214.58801758</v>
      </c>
      <c r="L177" s="36" t="n">
        <f aca="false">L173*Premissas!$C$77*Premissas!$C$32*(1-Premissas!$B$12)*L174</f>
        <v>3726094.95271802</v>
      </c>
      <c r="M177" s="36" t="n">
        <f aca="false">M173*Premissas!$C$77*Premissas!$C$32*(1-Premissas!$B$12)*M174</f>
        <v>3819247.32653597</v>
      </c>
      <c r="N177" s="36" t="n">
        <f aca="false">N173*Premissas!$C$77*Premissas!$C$32*(1-Premissas!$B$12)*N174</f>
        <v>3914728.50969936</v>
      </c>
      <c r="O177" s="36" t="n">
        <f aca="false">O173*Premissas!$C$77*Premissas!$C$32*(1-Premissas!$B$12)*O174</f>
        <v>4012596.72244185</v>
      </c>
      <c r="P177" s="3"/>
    </row>
    <row r="178" customFormat="false" ht="15" hidden="false" customHeight="false" outlineLevel="0" collapsed="false">
      <c r="A178" s="3"/>
      <c r="B178" s="4" t="s">
        <v>407</v>
      </c>
      <c r="C178" s="36" t="n">
        <f aca="false">C172*Premissas!$C$44*Premissas!$C$38*Premissas!$C$78*Premissas!$C$32*(1-Premissas!$B$12)*C174</f>
        <v>0</v>
      </c>
      <c r="D178" s="36" t="n">
        <f aca="false">D172*Premissas!$C$44*Premissas!$C$38*Premissas!$C$78*Premissas!$C$32*(1-Premissas!$B$12)*D174</f>
        <v>0</v>
      </c>
      <c r="E178" s="36" t="n">
        <f aca="false">E172*Premissas!$C$44*Premissas!$C$38*Premissas!$C$78*Premissas!$C$32*(1-Premissas!$B$12)*E174</f>
        <v>0</v>
      </c>
      <c r="F178" s="36" t="n">
        <f aca="false">F172*Premissas!$C$44*Premissas!$C$38*Premissas!$C$78*Premissas!$C$32*(1-Premissas!$B$12)*F174</f>
        <v>789480</v>
      </c>
      <c r="G178" s="36" t="n">
        <f aca="false">G172*Premissas!$C$44*Premissas!$C$38*Premissas!$C$78*Premissas!$C$32*(1-Premissas!$B$12)*G174</f>
        <v>809217</v>
      </c>
      <c r="H178" s="36" t="n">
        <f aca="false">H172*Premissas!$C$44*Premissas!$C$38*Premissas!$C$78*Premissas!$C$32*(1-Premissas!$B$12)*H174</f>
        <v>829447.425</v>
      </c>
      <c r="I178" s="36" t="n">
        <f aca="false">I172*Premissas!$C$44*Premissas!$C$38*Premissas!$C$78*Premissas!$C$32*(1-Premissas!$B$12)*I174</f>
        <v>850183.610625</v>
      </c>
      <c r="J178" s="36" t="n">
        <f aca="false">J172*Premissas!$C$44*Premissas!$C$38*Premissas!$C$78*Premissas!$C$32*(1-Premissas!$B$12)*J174</f>
        <v>871438.200890625</v>
      </c>
      <c r="K178" s="36" t="n">
        <f aca="false">K172*Premissas!$C$44*Premissas!$C$38*Premissas!$C$78*Premissas!$C$32*(1-Premissas!$B$12)*K174</f>
        <v>893224.15591289</v>
      </c>
      <c r="L178" s="36" t="n">
        <f aca="false">L172*Premissas!$C$44*Premissas!$C$38*Premissas!$C$78*Premissas!$C$32*(1-Premissas!$B$12)*L174</f>
        <v>915554.759810712</v>
      </c>
      <c r="M178" s="36" t="n">
        <f aca="false">M172*Premissas!$C$44*Premissas!$C$38*Premissas!$C$78*Premissas!$C$32*(1-Premissas!$B$12)*M174</f>
        <v>938443.62880598</v>
      </c>
      <c r="N178" s="36" t="n">
        <f aca="false">N172*Premissas!$C$44*Premissas!$C$38*Premissas!$C$78*Premissas!$C$32*(1-Premissas!$B$12)*N174</f>
        <v>961904.719526129</v>
      </c>
      <c r="O178" s="36" t="n">
        <f aca="false">O172*Premissas!$C$44*Premissas!$C$38*Premissas!$C$78*Premissas!$C$32*(1-Premissas!$B$12)*O174</f>
        <v>985952.337514283</v>
      </c>
      <c r="P178" s="3"/>
    </row>
    <row r="179" customFormat="false" ht="15" hidden="false" customHeight="false" outlineLevel="0" collapsed="false">
      <c r="A179" s="3"/>
      <c r="B179" s="4" t="s">
        <v>408</v>
      </c>
      <c r="C179" s="36" t="n">
        <f aca="false">C170*Premissas!$C$44*Premissas!$B$14*Premissas!$B$13*C174</f>
        <v>0</v>
      </c>
      <c r="D179" s="36" t="n">
        <f aca="false">D170*Premissas!$C$44*Premissas!$B$14*Premissas!$B$13*D174</f>
        <v>0</v>
      </c>
      <c r="E179" s="36" t="n">
        <f aca="false">E170*Premissas!$C$44*Premissas!$B$14*Premissas!$B$13*E174</f>
        <v>0</v>
      </c>
      <c r="F179" s="36" t="n">
        <f aca="false">F170*Premissas!$C$44*Premissas!$B$14*Premissas!$B$13*F174</f>
        <v>214812</v>
      </c>
      <c r="G179" s="36" t="n">
        <f aca="false">G170*Premissas!$C$44*Premissas!$B$14*Premissas!$B$13*G174</f>
        <v>259038</v>
      </c>
      <c r="H179" s="36" t="n">
        <f aca="false">H170*Premissas!$C$44*Premissas!$B$14*Premissas!$B$13*H174</f>
        <v>265513.95</v>
      </c>
      <c r="I179" s="36" t="n">
        <f aca="false">I170*Premissas!$C$44*Premissas!$B$14*Premissas!$B$13*I174</f>
        <v>272151.79875</v>
      </c>
      <c r="J179" s="36" t="n">
        <f aca="false">J170*Premissas!$C$44*Premissas!$B$14*Premissas!$B$13*J174</f>
        <v>278955.59371875</v>
      </c>
      <c r="K179" s="36" t="n">
        <f aca="false">K170*Premissas!$C$44*Premissas!$B$14*Premissas!$B$13*K174</f>
        <v>285929.483561719</v>
      </c>
      <c r="L179" s="36" t="n">
        <f aca="false">L170*Premissas!$C$44*Premissas!$B$14*Premissas!$B$13*L174</f>
        <v>293077.720650762</v>
      </c>
      <c r="M179" s="36" t="n">
        <f aca="false">M170*Premissas!$C$44*Premissas!$B$14*Premissas!$B$13*M174</f>
        <v>300404.663667031</v>
      </c>
      <c r="N179" s="36" t="n">
        <f aca="false">N170*Premissas!$C$44*Premissas!$B$14*Premissas!$B$13*N174</f>
        <v>307914.780258706</v>
      </c>
      <c r="O179" s="36" t="n">
        <f aca="false">O170*Premissas!$C$44*Premissas!$B$14*Premissas!$B$13*O174</f>
        <v>315612.649765174</v>
      </c>
      <c r="P179" s="3"/>
    </row>
    <row r="180" customFormat="false" ht="15" hidden="false" customHeight="false" outlineLevel="0" collapsed="false">
      <c r="A180" s="3"/>
      <c r="B180" s="14" t="s">
        <v>409</v>
      </c>
      <c r="C180" s="33" t="n">
        <f aca="false">SUM(C176:C179)</f>
        <v>0</v>
      </c>
      <c r="D180" s="33" t="n">
        <f aca="false">SUM(D176:D179)</f>
        <v>0</v>
      </c>
      <c r="E180" s="33" t="n">
        <f aca="false">SUM(E176:E179)</f>
        <v>0</v>
      </c>
      <c r="F180" s="33" t="n">
        <f aca="false">SUM(F176:F179)</f>
        <v>5482242</v>
      </c>
      <c r="G180" s="33" t="n">
        <f aca="false">SUM(G176:G179)</f>
        <v>6575580</v>
      </c>
      <c r="H180" s="33" t="n">
        <f aca="false">SUM(H176:H179)</f>
        <v>6739969.5</v>
      </c>
      <c r="I180" s="33" t="n">
        <f aca="false">SUM(I176:I179)</f>
        <v>6908468.7375</v>
      </c>
      <c r="J180" s="33" t="n">
        <f aca="false">SUM(J176:J179)</f>
        <v>7081180.4559375</v>
      </c>
      <c r="K180" s="33" t="n">
        <f aca="false">SUM(K176:K179)</f>
        <v>7258209.96733594</v>
      </c>
      <c r="L180" s="33" t="n">
        <f aca="false">SUM(L176:L179)</f>
        <v>7439665.21651933</v>
      </c>
      <c r="M180" s="33" t="n">
        <f aca="false">SUM(M176:M179)</f>
        <v>7625656.84693232</v>
      </c>
      <c r="N180" s="33" t="n">
        <f aca="false">SUM(N176:N179)</f>
        <v>7816298.26810562</v>
      </c>
      <c r="O180" s="33" t="n">
        <f aca="false">SUM(O176:O179)</f>
        <v>8011705.72480826</v>
      </c>
      <c r="P180" s="3"/>
    </row>
    <row r="181" customFormat="false" ht="15" hidden="false" customHeight="false" outlineLevel="0" collapsed="false">
      <c r="A181" s="3"/>
      <c r="B181" s="4" t="s">
        <v>410</v>
      </c>
      <c r="C181" s="36" t="n">
        <f aca="false">-C170*(Premissas!$C$70*Premissas!$C$34/Premissas!$B$6+Premissas!$C$75)*Premissas!$C$33*C175</f>
        <v>-0</v>
      </c>
      <c r="D181" s="36" t="n">
        <f aca="false">-D170*(Premissas!$C$70*Premissas!$C$34/Premissas!$B$6+Premissas!$C$75)*Premissas!$C$33*D175</f>
        <v>-0</v>
      </c>
      <c r="E181" s="36" t="n">
        <f aca="false">-E170*(Premissas!$C$70*Premissas!$C$34/Premissas!$B$6+Premissas!$C$75)*Premissas!$C$33*E175</f>
        <v>-0</v>
      </c>
      <c r="F181" s="36" t="n">
        <f aca="false">-F170*(Premissas!$C$70*Premissas!$C$34/Premissas!$B$6+Premissas!$C$75)*Premissas!$C$33*F175</f>
        <v>-1221491.9826087</v>
      </c>
      <c r="G181" s="36" t="n">
        <f aca="false">-G170*(Premissas!$C$70*Premissas!$C$34/Premissas!$B$6+Premissas!$C$75)*Premissas!$C$33*G175</f>
        <v>-1480160.87304348</v>
      </c>
      <c r="H181" s="36" t="n">
        <f aca="false">-H170*(Premissas!$C$70*Premissas!$C$34/Premissas!$B$6+Premissas!$C$75)*Premissas!$C$33*H175</f>
        <v>-1524565.69923478</v>
      </c>
      <c r="I181" s="36" t="n">
        <f aca="false">-I170*(Premissas!$C$70*Premissas!$C$34/Premissas!$B$6+Premissas!$C$75)*Premissas!$C$33*I175</f>
        <v>-1570302.67021183</v>
      </c>
      <c r="J181" s="36" t="n">
        <f aca="false">-J170*(Premissas!$C$70*Premissas!$C$34/Premissas!$B$6+Premissas!$C$75)*Premissas!$C$33*J175</f>
        <v>-1617411.75031818</v>
      </c>
      <c r="K181" s="36" t="n">
        <f aca="false">-K170*(Premissas!$C$70*Premissas!$C$34/Premissas!$B$6+Premissas!$C$75)*Premissas!$C$33*K175</f>
        <v>-1665934.10282773</v>
      </c>
      <c r="L181" s="36" t="n">
        <f aca="false">-L170*(Premissas!$C$70*Premissas!$C$34/Premissas!$B$6+Premissas!$C$75)*Premissas!$C$33*L175</f>
        <v>-1715912.12591256</v>
      </c>
      <c r="M181" s="36" t="n">
        <f aca="false">-M170*(Premissas!$C$70*Premissas!$C$34/Premissas!$B$6+Premissas!$C$75)*Premissas!$C$33*M175</f>
        <v>-1767389.48968994</v>
      </c>
      <c r="N181" s="36" t="n">
        <f aca="false">-N170*(Premissas!$C$70*Premissas!$C$34/Premissas!$B$6+Premissas!$C$75)*Premissas!$C$33*N175</f>
        <v>-1820411.17438063</v>
      </c>
      <c r="O181" s="36" t="n">
        <f aca="false">-O170*(Premissas!$C$70*Premissas!$C$34/Premissas!$B$6+Premissas!$C$75)*Premissas!$C$33*O175</f>
        <v>-1875023.50961205</v>
      </c>
      <c r="P181" s="3"/>
    </row>
    <row r="182" customFormat="false" ht="15" hidden="false" customHeight="false" outlineLevel="0" collapsed="false">
      <c r="A182" s="3"/>
      <c r="B182" s="4" t="s">
        <v>411</v>
      </c>
      <c r="C182" s="36" t="n">
        <f aca="false">-IF(C$169&gt;=1,Premissas!$C$68*Premissas!$C$33*C175,0)</f>
        <v>-0</v>
      </c>
      <c r="D182" s="36" t="n">
        <f aca="false">-IF(D$169&gt;=1,Premissas!$C$68*Premissas!$C$33*D175,0)</f>
        <v>-0</v>
      </c>
      <c r="E182" s="36" t="n">
        <f aca="false">-IF(E$169&gt;=1,Premissas!$C$68*Premissas!$C$33*E175,0)</f>
        <v>-0</v>
      </c>
      <c r="F182" s="36" t="n">
        <f aca="false">-IF(F$169&gt;=1,Premissas!$C$68*Premissas!$C$33*F175,0)</f>
        <v>-3453700</v>
      </c>
      <c r="G182" s="36" t="n">
        <f aca="false">-IF(G$169&gt;=1,Premissas!$C$68*Premissas!$C$33*G175,0)</f>
        <v>-3557311</v>
      </c>
      <c r="H182" s="36" t="n">
        <f aca="false">-IF(H$169&gt;=1,Premissas!$C$68*Premissas!$C$33*H175,0)</f>
        <v>-3664030.33</v>
      </c>
      <c r="I182" s="36" t="n">
        <f aca="false">-IF(I$169&gt;=1,Premissas!$C$68*Premissas!$C$33*I175,0)</f>
        <v>-3773951.2399</v>
      </c>
      <c r="J182" s="36" t="n">
        <f aca="false">-IF(J$169&gt;=1,Premissas!$C$68*Premissas!$C$33*J175,0)</f>
        <v>-3887169.777097</v>
      </c>
      <c r="K182" s="36" t="n">
        <f aca="false">-IF(K$169&gt;=1,Premissas!$C$68*Premissas!$C$33*K175,0)</f>
        <v>-4003784.87040991</v>
      </c>
      <c r="L182" s="36" t="n">
        <f aca="false">-IF(L$169&gt;=1,Premissas!$C$68*Premissas!$C$33*L175,0)</f>
        <v>-4123898.41652221</v>
      </c>
      <c r="M182" s="36" t="n">
        <f aca="false">-IF(M$169&gt;=1,Premissas!$C$68*Premissas!$C$33*M175,0)</f>
        <v>-4247615.36901787</v>
      </c>
      <c r="N182" s="36" t="n">
        <f aca="false">-IF(N$169&gt;=1,Premissas!$C$68*Premissas!$C$33*N175,0)</f>
        <v>-4375043.83008841</v>
      </c>
      <c r="O182" s="36" t="n">
        <f aca="false">-IF(O$169&gt;=1,Premissas!$C$68*Premissas!$C$33*O175,0)</f>
        <v>-4506295.14499106</v>
      </c>
      <c r="P182" s="3"/>
    </row>
    <row r="183" customFormat="false" ht="15" hidden="false" customHeight="false" outlineLevel="0" collapsed="false">
      <c r="A183" s="3"/>
      <c r="B183" s="14" t="s">
        <v>412</v>
      </c>
      <c r="C183" s="33" t="n">
        <f aca="false">C180+C181+C182</f>
        <v>0</v>
      </c>
      <c r="D183" s="33" t="n">
        <f aca="false">D180+D181+D182</f>
        <v>0</v>
      </c>
      <c r="E183" s="33" t="n">
        <f aca="false">E180+E181+E182</f>
        <v>0</v>
      </c>
      <c r="F183" s="33" t="n">
        <f aca="false">F180+F181+F182</f>
        <v>807050.017391305</v>
      </c>
      <c r="G183" s="33" t="n">
        <f aca="false">G180+G181+G182</f>
        <v>1538108.12695652</v>
      </c>
      <c r="H183" s="33" t="n">
        <f aca="false">H180+H181+H182</f>
        <v>1551373.47076522</v>
      </c>
      <c r="I183" s="33" t="n">
        <f aca="false">I180+I181+I182</f>
        <v>1564214.82738817</v>
      </c>
      <c r="J183" s="33" t="n">
        <f aca="false">J180+J181+J182</f>
        <v>1576598.92852231</v>
      </c>
      <c r="K183" s="33" t="n">
        <f aca="false">K180+K181+K182</f>
        <v>1588490.9940983</v>
      </c>
      <c r="L183" s="33" t="n">
        <f aca="false">L180+L181+L182</f>
        <v>1599854.67408457</v>
      </c>
      <c r="M183" s="33" t="n">
        <f aca="false">M180+M181+M182</f>
        <v>1610651.98822451</v>
      </c>
      <c r="N183" s="33" t="n">
        <f aca="false">N180+N181+N182</f>
        <v>1620843.26363658</v>
      </c>
      <c r="O183" s="33" t="n">
        <f aca="false">O180+O181+O182</f>
        <v>1630387.07020515</v>
      </c>
      <c r="P183" s="3"/>
    </row>
    <row r="184" customFormat="false" ht="15" hidden="false" customHeight="false" outlineLevel="0" collapsed="false">
      <c r="A184" s="3"/>
      <c r="B184" s="4" t="s">
        <v>413</v>
      </c>
      <c r="C184" s="42" t="n">
        <f aca="false">IF(C180=0,0,C183/C180)</f>
        <v>0</v>
      </c>
      <c r="D184" s="42" t="n">
        <f aca="false">IF(D180=0,0,D183/D180)</f>
        <v>0</v>
      </c>
      <c r="E184" s="42" t="n">
        <f aca="false">IF(E180=0,0,E183/E180)</f>
        <v>0</v>
      </c>
      <c r="F184" s="42" t="n">
        <f aca="false">IF(F180=0,0,F183/F180)</f>
        <v>0.147211673142358</v>
      </c>
      <c r="G184" s="42" t="n">
        <f aca="false">IF(G180=0,0,G183/G180)</f>
        <v>0.233912160897825</v>
      </c>
      <c r="H184" s="42" t="n">
        <f aca="false">IF(H180=0,0,H183/H180)</f>
        <v>0.230175147048546</v>
      </c>
      <c r="I184" s="42" t="n">
        <f aca="false">IF(I180=0,0,I183/I180)</f>
        <v>0.226419903863417</v>
      </c>
      <c r="J184" s="42" t="n">
        <f aca="false">IF(J180=0,0,J183/J180)</f>
        <v>0.222646342418848</v>
      </c>
      <c r="K184" s="42" t="n">
        <f aca="false">IF(K180=0,0,K183/K180)</f>
        <v>0.218854373357477</v>
      </c>
      <c r="L184" s="42" t="n">
        <f aca="false">IF(L180=0,0,L183/L180)</f>
        <v>0.21504390688605</v>
      </c>
      <c r="M184" s="42" t="n">
        <f aca="false">IF(M180=0,0,M183/M180)</f>
        <v>0.211214852773299</v>
      </c>
      <c r="N184" s="42" t="n">
        <f aca="false">IF(N180=0,0,N183/N180)</f>
        <v>0.207367120347802</v>
      </c>
      <c r="O184" s="42" t="n">
        <f aca="false">IF(O180=0,0,O183/O180)</f>
        <v>0.20350061849584</v>
      </c>
      <c r="P184" s="3"/>
    </row>
    <row r="185" customFormat="false" ht="15" hidden="false" customHeight="false" outlineLevel="0" collapsed="false">
      <c r="A185" s="3"/>
      <c r="B185" s="4" t="s">
        <v>414</v>
      </c>
      <c r="C185" s="36" t="n">
        <f aca="false">-IF(C$169&gt;=1,Premissas!$C$52*(1-Premissas!$C$36)/10,0)</f>
        <v>-0</v>
      </c>
      <c r="D185" s="36" t="n">
        <f aca="false">-IF(D$169&gt;=1,Premissas!$C$52*(1-Premissas!$C$36)/10,0)</f>
        <v>-0</v>
      </c>
      <c r="E185" s="36" t="n">
        <f aca="false">-IF(E$169&gt;=1,Premissas!$C$52*(1-Premissas!$C$36)/10,0)</f>
        <v>-0</v>
      </c>
      <c r="F185" s="36" t="n">
        <f aca="false">-IF(F$169&gt;=1,Premissas!$C$52*(1-Premissas!$C$36)/10,0)</f>
        <v>-1070000</v>
      </c>
      <c r="G185" s="36" t="n">
        <f aca="false">-IF(G$169&gt;=1,Premissas!$C$52*(1-Premissas!$C$36)/10,0)</f>
        <v>-1070000</v>
      </c>
      <c r="H185" s="36" t="n">
        <f aca="false">-IF(H$169&gt;=1,Premissas!$C$52*(1-Premissas!$C$36)/10,0)</f>
        <v>-1070000</v>
      </c>
      <c r="I185" s="36" t="n">
        <f aca="false">-IF(I$169&gt;=1,Premissas!$C$52*(1-Premissas!$C$36)/10,0)</f>
        <v>-1070000</v>
      </c>
      <c r="J185" s="36" t="n">
        <f aca="false">-IF(J$169&gt;=1,Premissas!$C$52*(1-Premissas!$C$36)/10,0)</f>
        <v>-1070000</v>
      </c>
      <c r="K185" s="36" t="n">
        <f aca="false">-IF(K$169&gt;=1,Premissas!$C$52*(1-Premissas!$C$36)/10,0)</f>
        <v>-1070000</v>
      </c>
      <c r="L185" s="36" t="n">
        <f aca="false">-IF(L$169&gt;=1,Premissas!$C$52*(1-Premissas!$C$36)/10,0)</f>
        <v>-1070000</v>
      </c>
      <c r="M185" s="36" t="n">
        <f aca="false">-IF(M$169&gt;=1,Premissas!$C$52*(1-Premissas!$C$36)/10,0)</f>
        <v>-1070000</v>
      </c>
      <c r="N185" s="36" t="n">
        <f aca="false">-IF(N$169&gt;=1,Premissas!$C$52*(1-Premissas!$C$36)/10,0)</f>
        <v>-1070000</v>
      </c>
      <c r="O185" s="36" t="n">
        <f aca="false">-IF(O$169&gt;=1,Premissas!$C$52*(1-Premissas!$C$36)/10,0)</f>
        <v>-1070000</v>
      </c>
      <c r="P185" s="3"/>
    </row>
    <row r="186" customFormat="false" ht="15" hidden="false" customHeight="false" outlineLevel="0" collapsed="false">
      <c r="A186" s="3"/>
      <c r="B186" s="14" t="s">
        <v>415</v>
      </c>
      <c r="C186" s="40" t="n">
        <f aca="false">C183+C185</f>
        <v>0</v>
      </c>
      <c r="D186" s="40" t="n">
        <f aca="false">D183+D185</f>
        <v>0</v>
      </c>
      <c r="E186" s="40" t="n">
        <f aca="false">E183+E185</f>
        <v>0</v>
      </c>
      <c r="F186" s="40" t="n">
        <f aca="false">F183+F185</f>
        <v>-262949.982608696</v>
      </c>
      <c r="G186" s="40" t="n">
        <f aca="false">G183+G185</f>
        <v>468108.126956521</v>
      </c>
      <c r="H186" s="40" t="n">
        <f aca="false">H183+H185</f>
        <v>481373.470765217</v>
      </c>
      <c r="I186" s="40" t="n">
        <f aca="false">I183+I185</f>
        <v>494214.827388172</v>
      </c>
      <c r="J186" s="40" t="n">
        <f aca="false">J183+J185</f>
        <v>506598.928522314</v>
      </c>
      <c r="K186" s="40" t="n">
        <f aca="false">K183+K185</f>
        <v>518490.994098298</v>
      </c>
      <c r="L186" s="40" t="n">
        <f aca="false">L183+L185</f>
        <v>529854.674084566</v>
      </c>
      <c r="M186" s="40" t="n">
        <f aca="false">M183+M185</f>
        <v>540651.988224506</v>
      </c>
      <c r="N186" s="40" t="n">
        <f aca="false">N183+N185</f>
        <v>550843.263636577</v>
      </c>
      <c r="O186" s="40" t="n">
        <f aca="false">O183+O185</f>
        <v>560387.070205146</v>
      </c>
      <c r="P186" s="3"/>
    </row>
    <row r="187" customFormat="false" ht="15" hidden="false" customHeight="false" outlineLevel="0" collapsed="false">
      <c r="A187" s="3"/>
      <c r="B187" s="4" t="s">
        <v>416</v>
      </c>
      <c r="C187" s="36" t="n">
        <f aca="false">-MAX(0,C186)*Premissas!$B$11</f>
        <v>-0</v>
      </c>
      <c r="D187" s="36" t="n">
        <f aca="false">-MAX(0,D186)*Premissas!$B$11</f>
        <v>-0</v>
      </c>
      <c r="E187" s="36" t="n">
        <f aca="false">-MAX(0,E186)*Premissas!$B$11</f>
        <v>-0</v>
      </c>
      <c r="F187" s="36" t="n">
        <f aca="false">-MAX(0,F186)*Premissas!$B$11</f>
        <v>-0</v>
      </c>
      <c r="G187" s="36" t="n">
        <f aca="false">-MAX(0,G186)*Premissas!$B$11</f>
        <v>-159156.763165217</v>
      </c>
      <c r="H187" s="36" t="n">
        <f aca="false">-MAX(0,H186)*Premissas!$B$11</f>
        <v>-163666.980060174</v>
      </c>
      <c r="I187" s="36" t="n">
        <f aca="false">-MAX(0,I186)*Premissas!$B$11</f>
        <v>-168033.041311978</v>
      </c>
      <c r="J187" s="36" t="n">
        <f aca="false">-MAX(0,J186)*Premissas!$B$11</f>
        <v>-172243.635697587</v>
      </c>
      <c r="K187" s="36" t="n">
        <f aca="false">-MAX(0,K186)*Premissas!$B$11</f>
        <v>-176286.937993421</v>
      </c>
      <c r="L187" s="36" t="n">
        <f aca="false">-MAX(0,L186)*Premissas!$B$11</f>
        <v>-180150.589188752</v>
      </c>
      <c r="M187" s="36" t="n">
        <f aca="false">-MAX(0,M186)*Premissas!$B$11</f>
        <v>-183821.675996332</v>
      </c>
      <c r="N187" s="36" t="n">
        <f aca="false">-MAX(0,N186)*Premissas!$B$11</f>
        <v>-187286.709636436</v>
      </c>
      <c r="O187" s="36" t="n">
        <f aca="false">-MAX(0,O186)*Premissas!$B$11</f>
        <v>-190531.60386975</v>
      </c>
      <c r="P187" s="3"/>
    </row>
    <row r="188" customFormat="false" ht="15" hidden="false" customHeight="false" outlineLevel="0" collapsed="false">
      <c r="A188" s="3"/>
      <c r="B188" s="4" t="s">
        <v>417</v>
      </c>
      <c r="C188" s="36" t="n">
        <f aca="false">-(IF(C$169=3,Premissas!$C$80,0)+IF(C$169=5,Premissas!$C$81,0)+IF(C$169=8,Premissas!$C$82,0)+IF(C$169=10,Premissas!$C$83,0))*C175</f>
        <v>-0</v>
      </c>
      <c r="D188" s="36" t="n">
        <f aca="false">-(IF(D$169=3,Premissas!$C$80,0)+IF(D$169=5,Premissas!$C$81,0)+IF(D$169=8,Premissas!$C$82,0)+IF(D$169=10,Premissas!$C$83,0))*D175</f>
        <v>-0</v>
      </c>
      <c r="E188" s="36" t="n">
        <f aca="false">-(IF(E$169=3,Premissas!$C$80,0)+IF(E$169=5,Premissas!$C$81,0)+IF(E$169=8,Premissas!$C$82,0)+IF(E$169=10,Premissas!$C$83,0))*E175</f>
        <v>-0</v>
      </c>
      <c r="F188" s="36" t="n">
        <f aca="false">-(IF(F$169=3,Premissas!$C$80,0)+IF(F$169=5,Premissas!$C$81,0)+IF(F$169=8,Premissas!$C$82,0)+IF(F$169=10,Premissas!$C$83,0))*F175</f>
        <v>-0</v>
      </c>
      <c r="G188" s="36" t="n">
        <f aca="false">-(IF(G$169=3,Premissas!$C$80,0)+IF(G$169=5,Premissas!$C$81,0)+IF(G$169=8,Premissas!$C$82,0)+IF(G$169=10,Premissas!$C$83,0))*G175</f>
        <v>-0</v>
      </c>
      <c r="H188" s="36" t="n">
        <f aca="false">-(IF(H$169=3,Premissas!$C$80,0)+IF(H$169=5,Premissas!$C$81,0)+IF(H$169=8,Premissas!$C$82,0)+IF(H$169=10,Premissas!$C$83,0))*H175</f>
        <v>-477405</v>
      </c>
      <c r="I188" s="36" t="n">
        <f aca="false">-(IF(I$169=3,Premissas!$C$80,0)+IF(I$169=5,Premissas!$C$81,0)+IF(I$169=8,Premissas!$C$82,0)+IF(I$169=10,Premissas!$C$83,0))*I175</f>
        <v>-0</v>
      </c>
      <c r="J188" s="36" t="n">
        <f aca="false">-(IF(J$169=3,Premissas!$C$80,0)+IF(J$169=5,Premissas!$C$81,0)+IF(J$169=8,Premissas!$C$82,0)+IF(J$169=10,Premissas!$C$83,0))*J175</f>
        <v>-1125508.81</v>
      </c>
      <c r="K188" s="36" t="n">
        <f aca="false">-(IF(K$169=3,Premissas!$C$80,0)+IF(K$169=5,Premissas!$C$81,0)+IF(K$169=8,Premissas!$C$82,0)+IF(K$169=10,Premissas!$C$83,0))*K175</f>
        <v>-0</v>
      </c>
      <c r="L188" s="36" t="n">
        <f aca="false">-(IF(L$169=3,Premissas!$C$80,0)+IF(L$169=5,Premissas!$C$81,0)+IF(L$169=8,Premissas!$C$82,0)+IF(L$169=10,Premissas!$C$83,0))*L175</f>
        <v>-0</v>
      </c>
      <c r="M188" s="36" t="n">
        <f aca="false">-(IF(M$169=3,Premissas!$C$80,0)+IF(M$169=5,Premissas!$C$81,0)+IF(M$169=8,Premissas!$C$82,0)+IF(M$169=10,Premissas!$C$83,0))*M175</f>
        <v>-614936.932712435</v>
      </c>
      <c r="N188" s="36" t="n">
        <f aca="false">-(IF(N$169=3,Premissas!$C$80,0)+IF(N$169=5,Premissas!$C$81,0)+IF(N$169=8,Premissas!$C$82,0)+IF(N$169=10,Premissas!$C$83,0))*N175</f>
        <v>-0</v>
      </c>
      <c r="O188" s="36" t="n">
        <f aca="false">-(IF(O$169=3,Premissas!$C$80,0)+IF(O$169=5,Premissas!$C$81,0)+IF(O$169=8,Premissas!$C$82,0)+IF(O$169=10,Premissas!$C$83,0))*O175</f>
        <v>-1435250.50221217</v>
      </c>
      <c r="P188" s="3"/>
    </row>
    <row r="189" customFormat="false" ht="15" hidden="false" customHeight="false" outlineLevel="0" collapsed="false">
      <c r="A189" s="3"/>
      <c r="B189" s="4" t="s">
        <v>418</v>
      </c>
      <c r="C189" s="36" t="n">
        <f aca="false">-IF(C$169&gt;=1,Premissas!$C$52*(Premissas!$C$84+IF(C$169=6,Premissas!$C$85,0))*C175,0)</f>
        <v>-0</v>
      </c>
      <c r="D189" s="36" t="n">
        <f aca="false">-IF(D$169&gt;=1,Premissas!$C$52*(Premissas!$C$84+IF(D$169=6,Premissas!$C$85,0))*D175,0)</f>
        <v>-0</v>
      </c>
      <c r="E189" s="36" t="n">
        <f aca="false">-IF(E$169&gt;=1,Premissas!$C$52*(Premissas!$C$84+IF(E$169=6,Premissas!$C$85,0))*E175,0)</f>
        <v>-0</v>
      </c>
      <c r="F189" s="36" t="n">
        <f aca="false">-IF(F$169&gt;=1,Premissas!$C$52*(Premissas!$C$84+IF(F$169=6,Premissas!$C$85,0))*F175,0)</f>
        <v>-214000</v>
      </c>
      <c r="G189" s="36" t="n">
        <f aca="false">-IF(G$169&gt;=1,Premissas!$C$52*(Premissas!$C$84+IF(G$169=6,Premissas!$C$85,0))*G175,0)</f>
        <v>-220420</v>
      </c>
      <c r="H189" s="36" t="n">
        <f aca="false">-IF(H$169&gt;=1,Premissas!$C$52*(Premissas!$C$84+IF(H$169=6,Premissas!$C$85,0))*H175,0)</f>
        <v>-227032.6</v>
      </c>
      <c r="I189" s="36" t="n">
        <f aca="false">-IF(I$169&gt;=1,Premissas!$C$52*(Premissas!$C$84+IF(I$169=6,Premissas!$C$85,0))*I175,0)</f>
        <v>-233843.578</v>
      </c>
      <c r="J189" s="36" t="n">
        <f aca="false">-IF(J$169&gt;=1,Premissas!$C$52*(Premissas!$C$84+IF(J$169=6,Premissas!$C$85,0))*J175,0)</f>
        <v>-240858.88534</v>
      </c>
      <c r="K189" s="36" t="n">
        <f aca="false">-IF(K$169&gt;=1,Premissas!$C$52*(Premissas!$C$84+IF(K$169=6,Premissas!$C$85,0))*K175,0)</f>
        <v>-1240423.259501</v>
      </c>
      <c r="L189" s="36" t="n">
        <f aca="false">-IF(L$169&gt;=1,Premissas!$C$52*(Premissas!$C$84+IF(L$169=6,Premissas!$C$85,0))*L175,0)</f>
        <v>-255527.191457206</v>
      </c>
      <c r="M189" s="36" t="n">
        <f aca="false">-IF(M$169&gt;=1,Premissas!$C$52*(Premissas!$C$84+IF(M$169=6,Premissas!$C$85,0))*M175,0)</f>
        <v>-263193.007200922</v>
      </c>
      <c r="N189" s="36" t="n">
        <f aca="false">-IF(N$169&gt;=1,Premissas!$C$52*(Premissas!$C$84+IF(N$169=6,Premissas!$C$85,0))*N175,0)</f>
        <v>-271088.79741695</v>
      </c>
      <c r="O189" s="36" t="n">
        <f aca="false">-IF(O$169&gt;=1,Premissas!$C$52*(Premissas!$C$84+IF(O$169=6,Premissas!$C$85,0))*O175,0)</f>
        <v>-279221.461339458</v>
      </c>
      <c r="P189" s="3"/>
    </row>
    <row r="190" customFormat="false" ht="15" hidden="false" customHeight="false" outlineLevel="0" collapsed="false">
      <c r="A190" s="3"/>
      <c r="B190" s="4" t="s">
        <v>419</v>
      </c>
      <c r="C190" s="36" t="n">
        <f aca="false">-Premissas!$C$52*Premissas!$C$53</f>
        <v>-0</v>
      </c>
      <c r="D190" s="36" t="n">
        <f aca="false">-Premissas!$C$52*Premissas!$C$54</f>
        <v>-0</v>
      </c>
      <c r="E190" s="36" t="n">
        <f aca="false">-Premissas!$C$52*Premissas!$C$55</f>
        <v>-21400000</v>
      </c>
      <c r="F190" s="36" t="n">
        <v>0</v>
      </c>
      <c r="G190" s="36" t="n">
        <v>0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6" t="n">
        <v>0</v>
      </c>
      <c r="O190" s="36" t="n">
        <v>0</v>
      </c>
      <c r="P190" s="3"/>
    </row>
    <row r="191" customFormat="false" ht="15" hidden="false" customHeight="false" outlineLevel="0" collapsed="false">
      <c r="A191" s="3"/>
      <c r="B191" s="4" t="s">
        <v>420</v>
      </c>
      <c r="C191" s="36" t="n">
        <f aca="false">IF(C$169=10,Premissas!$C$52*Premissas!$C$36,0)</f>
        <v>0</v>
      </c>
      <c r="D191" s="36" t="n">
        <f aca="false">IF(D$169=10,Premissas!$C$52*Premissas!$C$36,0)</f>
        <v>0</v>
      </c>
      <c r="E191" s="36" t="n">
        <f aca="false">IF(E$169=10,Premissas!$C$52*Premissas!$C$36,0)</f>
        <v>0</v>
      </c>
      <c r="F191" s="36" t="n">
        <f aca="false">IF(F$169=10,Premissas!$C$52*Premissas!$C$36,0)</f>
        <v>0</v>
      </c>
      <c r="G191" s="36" t="n">
        <f aca="false">IF(G$169=10,Premissas!$C$52*Premissas!$C$36,0)</f>
        <v>0</v>
      </c>
      <c r="H191" s="36" t="n">
        <f aca="false">IF(H$169=10,Premissas!$C$52*Premissas!$C$36,0)</f>
        <v>0</v>
      </c>
      <c r="I191" s="36" t="n">
        <f aca="false">IF(I$169=10,Premissas!$C$52*Premissas!$C$36,0)</f>
        <v>0</v>
      </c>
      <c r="J191" s="36" t="n">
        <f aca="false">IF(J$169=10,Premissas!$C$52*Premissas!$C$36,0)</f>
        <v>0</v>
      </c>
      <c r="K191" s="36" t="n">
        <f aca="false">IF(K$169=10,Premissas!$C$52*Premissas!$C$36,0)</f>
        <v>0</v>
      </c>
      <c r="L191" s="36" t="n">
        <f aca="false">IF(L$169=10,Premissas!$C$52*Premissas!$C$36,0)</f>
        <v>0</v>
      </c>
      <c r="M191" s="36" t="n">
        <f aca="false">IF(M$169=10,Premissas!$C$52*Premissas!$C$36,0)</f>
        <v>0</v>
      </c>
      <c r="N191" s="36" t="n">
        <f aca="false">IF(N$169=10,Premissas!$C$52*Premissas!$C$36,0)</f>
        <v>0</v>
      </c>
      <c r="O191" s="36" t="n">
        <f aca="false">IF(O$169=10,Premissas!$C$52*Premissas!$C$36,0)</f>
        <v>10700000</v>
      </c>
      <c r="P191" s="3"/>
    </row>
    <row r="192" customFormat="false" ht="15" hidden="false" customHeight="false" outlineLevel="0" collapsed="false">
      <c r="A192" s="3"/>
      <c r="B192" s="14" t="s">
        <v>421</v>
      </c>
      <c r="C192" s="33" t="n">
        <f aca="false">C183+C187+C188+C189+C190+C191</f>
        <v>0</v>
      </c>
      <c r="D192" s="33" t="n">
        <f aca="false">D183+D187+D188+D189+D190+D191</f>
        <v>0</v>
      </c>
      <c r="E192" s="33" t="n">
        <f aca="false">E183+E187+E188+E189+E190+E191</f>
        <v>-21400000</v>
      </c>
      <c r="F192" s="33" t="n">
        <f aca="false">F183+F187+F188+F189+F190+F191</f>
        <v>593050.017391305</v>
      </c>
      <c r="G192" s="33" t="n">
        <f aca="false">G183+G187+G188+G189+G190+G191</f>
        <v>1158531.3637913</v>
      </c>
      <c r="H192" s="33" t="n">
        <f aca="false">H183+H187+H188+H189+H190+H191</f>
        <v>683268.890705043</v>
      </c>
      <c r="I192" s="33" t="n">
        <f aca="false">I183+I187+I188+I189+I190+I191</f>
        <v>1162338.20807619</v>
      </c>
      <c r="J192" s="33" t="n">
        <f aca="false">J183+J187+J188+J189+J190+J191</f>
        <v>37987.5974847274</v>
      </c>
      <c r="K192" s="33" t="n">
        <f aca="false">K183+K187+K188+K189+K190+K191</f>
        <v>171780.796603876</v>
      </c>
      <c r="L192" s="33" t="n">
        <f aca="false">L183+L187+L188+L189+L190+L191</f>
        <v>1164176.89343861</v>
      </c>
      <c r="M192" s="33" t="n">
        <f aca="false">M183+M187+M188+M189+M190+M191</f>
        <v>548700.372314817</v>
      </c>
      <c r="N192" s="33" t="n">
        <f aca="false">N183+N187+N188+N189+N190+N191</f>
        <v>1162467.75658319</v>
      </c>
      <c r="O192" s="33" t="n">
        <f aca="false">O183+O187+O188+O189+O190+O191</f>
        <v>10425383.5027838</v>
      </c>
      <c r="P192" s="3"/>
    </row>
    <row r="193" customFormat="false" ht="15" hidden="false" customHeight="false" outlineLevel="0" collapsed="false">
      <c r="A193" s="3"/>
      <c r="B193" s="4" t="s">
        <v>422</v>
      </c>
      <c r="C193" s="36" t="n">
        <f aca="false">C192-C191</f>
        <v>0</v>
      </c>
      <c r="D193" s="36" t="n">
        <f aca="false">C193+D192-D191</f>
        <v>0</v>
      </c>
      <c r="E193" s="36" t="n">
        <f aca="false">D193+E192-E191</f>
        <v>-21400000</v>
      </c>
      <c r="F193" s="36" t="n">
        <f aca="false">E193+F192-F191</f>
        <v>-20806949.9826087</v>
      </c>
      <c r="G193" s="36" t="n">
        <f aca="false">F193+G192-G191</f>
        <v>-19648418.6188174</v>
      </c>
      <c r="H193" s="36" t="n">
        <f aca="false">G193+H192-H191</f>
        <v>-18965149.7281123</v>
      </c>
      <c r="I193" s="36" t="n">
        <f aca="false">H193+I192-I191</f>
        <v>-17802811.5200362</v>
      </c>
      <c r="J193" s="36" t="n">
        <f aca="false">I193+J192-J191</f>
        <v>-17764823.9225514</v>
      </c>
      <c r="K193" s="36" t="n">
        <f aca="false">J193+K192-K191</f>
        <v>-17593043.1259476</v>
      </c>
      <c r="L193" s="36" t="n">
        <f aca="false">K193+L192-L191</f>
        <v>-16428866.2325089</v>
      </c>
      <c r="M193" s="36" t="n">
        <f aca="false">L193+M192-M191</f>
        <v>-15880165.8601941</v>
      </c>
      <c r="N193" s="36" t="n">
        <f aca="false">M193+N192-N191</f>
        <v>-14717698.1036109</v>
      </c>
      <c r="O193" s="36" t="n">
        <f aca="false">N193+O192-O191</f>
        <v>-14992314.6008272</v>
      </c>
      <c r="P193" s="3"/>
    </row>
    <row r="194" customFormat="false" ht="15" hidden="false" customHeight="false" outlineLevel="0" collapsed="false">
      <c r="A194" s="3"/>
      <c r="B194" s="6" t="s">
        <v>423</v>
      </c>
      <c r="C194" s="46" t="n">
        <v>0</v>
      </c>
      <c r="D194" s="46" t="n">
        <v>0</v>
      </c>
      <c r="E194" s="46" t="n">
        <v>0</v>
      </c>
      <c r="F194" s="46" t="n">
        <f aca="false">IF(AND(E193&lt;0,F193&gt;=0),F$169-1+(-E193)/(F192-F191),0)</f>
        <v>0</v>
      </c>
      <c r="G194" s="46" t="n">
        <f aca="false">IF(AND(F193&lt;0,G193&gt;=0),G$169-1+(-F193)/(G192-G191),0)</f>
        <v>0</v>
      </c>
      <c r="H194" s="46" t="n">
        <f aca="false">IF(AND(G193&lt;0,H193&gt;=0),H$169-1+(-G193)/(H192-H191),0)</f>
        <v>0</v>
      </c>
      <c r="I194" s="46" t="n">
        <f aca="false">IF(AND(H193&lt;0,I193&gt;=0),I$169-1+(-H193)/(I192-I191),0)</f>
        <v>0</v>
      </c>
      <c r="J194" s="46" t="n">
        <f aca="false">IF(AND(I193&lt;0,J193&gt;=0),J$169-1+(-I193)/(J192-J191),0)</f>
        <v>0</v>
      </c>
      <c r="K194" s="46" t="n">
        <f aca="false">IF(AND(J193&lt;0,K193&gt;=0),K$169-1+(-J193)/(K192-K191),0)</f>
        <v>0</v>
      </c>
      <c r="L194" s="46" t="n">
        <f aca="false">IF(AND(K193&lt;0,L193&gt;=0),L$169-1+(-K193)/(L192-L191),0)</f>
        <v>0</v>
      </c>
      <c r="M194" s="46" t="n">
        <f aca="false">IF(AND(L193&lt;0,M193&gt;=0),M$169-1+(-L193)/(M192-M191),0)</f>
        <v>0</v>
      </c>
      <c r="N194" s="46" t="n">
        <f aca="false">IF(AND(M193&lt;0,N193&gt;=0),N$169-1+(-M193)/(N192-N191),0)</f>
        <v>0</v>
      </c>
      <c r="O194" s="46" t="n">
        <f aca="false">IF(AND(N193&lt;0,O193&gt;=0),O$169-1+(-N193)/(O192-O191),0)</f>
        <v>0</v>
      </c>
      <c r="P194" s="3"/>
    </row>
    <row r="195" customFormat="false" ht="15" hidden="false" customHeight="false" outlineLevel="0" collapsed="false">
      <c r="A195" s="3"/>
      <c r="B195" s="14" t="s">
        <v>424</v>
      </c>
      <c r="C195" s="47" t="n">
        <f aca="false">IFERROR(IRR(C192:O192,0.05),IFERROR(IRR(C192:O192,-0.05),IF(SUM(C192:O192)&lt;0,"negativa","n/d")))</f>
        <v>-0.0269687823357965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15" hidden="false" customHeight="false" outlineLevel="0" collapsed="false">
      <c r="A196" s="3"/>
      <c r="B196" s="14" t="s">
        <v>425</v>
      </c>
      <c r="C196" s="48" t="n">
        <f aca="false">C192*(1+Premissas!$B$10)^2+D192*(1+Premissas!$B$10)+E192+NPV(Premissas!$B$10,F192:O192)</f>
        <v>-13109787.873133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customFormat="false" ht="15" hidden="false" customHeight="false" outlineLevel="0" collapsed="false">
      <c r="A197" s="3"/>
      <c r="B197" s="14" t="s">
        <v>426</v>
      </c>
      <c r="C197" s="49" t="str">
        <f aca="false">IF(SUM(F194:O194)=0,"&gt; 10",SUM(F194:O194))</f>
        <v>&gt; 10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customFormat="false" ht="15" hidden="false" customHeight="false" outlineLevel="0" collapsed="false">
      <c r="A198" s="3"/>
      <c r="B198" s="14" t="s">
        <v>427</v>
      </c>
      <c r="C198" s="47" t="n">
        <f aca="false">SUM(C192:O192)/-SUM(C190:E190)</f>
        <v>-0.200575448636784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customFormat="false" ht="15" hidden="false" customHeight="false" outlineLevel="0" collapsed="false">
      <c r="A199" s="3"/>
      <c r="B199" s="14" t="s">
        <v>428</v>
      </c>
      <c r="C199" s="47" t="n">
        <f aca="false">AVERAGE(F186:O186)*(1-Premissas!$B$11)/-SUM(C190:E190)</f>
        <v>0.013531768310467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customFormat="false" ht="15" hidden="false" customHeight="false" outlineLevel="0" collapsed="false">
      <c r="A200" s="3"/>
      <c r="B200" s="14" t="s">
        <v>429</v>
      </c>
      <c r="C200" s="48" t="n">
        <f aca="false">H183</f>
        <v>1551373.47076522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customFormat="false" ht="15" hidden="false" customHeight="false" outlineLevel="0" collapsed="false">
      <c r="A201" s="3"/>
      <c r="B201" s="14" t="s">
        <v>430</v>
      </c>
      <c r="C201" s="48" t="n">
        <f aca="false">H180</f>
        <v>6739969.5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customFormat="false" ht="15" hidden="false" customHeight="false" outlineLevel="0" collapsed="false">
      <c r="A202" s="3"/>
      <c r="B202" s="14" t="s">
        <v>431</v>
      </c>
      <c r="C202" s="47" t="n">
        <f aca="false">H184</f>
        <v>0.230175147048546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customFormat="false" ht="15" hidden="false" customHeight="false" outlineLevel="0" collapsed="false">
      <c r="A203" s="3"/>
      <c r="B203" s="14" t="s">
        <v>432</v>
      </c>
      <c r="C203" s="48" t="n">
        <f aca="false">-(H181+H182)</f>
        <v>5188596.02923478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customFormat="false" ht="15" hidden="false" customHeight="false" outlineLevel="0" collapsed="false">
      <c r="A204" s="3"/>
      <c r="B204" s="14" t="s">
        <v>433</v>
      </c>
      <c r="C204" s="50" t="n">
        <f aca="false">IFERROR(-H182/((H180+H181)/H170),"n/d")</f>
        <v>18.2660427110212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customFormat="false" ht="15" hidden="false" customHeight="false" outlineLevel="0" collapsed="false">
      <c r="A205" s="3"/>
      <c r="B205" s="14" t="s">
        <v>434</v>
      </c>
      <c r="C205" s="48" t="n">
        <f aca="false">-SUM(C190:E190)</f>
        <v>21400000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customFormat="false" ht="15" hidden="false" customHeight="false" outlineLevel="0" collapsed="false">
      <c r="A206" s="3"/>
      <c r="B206" s="14" t="s">
        <v>435</v>
      </c>
      <c r="C206" s="48" t="n">
        <f aca="false">O191</f>
        <v>10700000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customFormat="false" ht="15" hidden="false" customHeight="false" outlineLevel="0" collapsed="false">
      <c r="A209" s="3"/>
      <c r="B209" s="19" t="s">
        <v>440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customFormat="false" ht="15" hidden="false" customHeight="false" outlineLevel="0" collapsed="false">
      <c r="A210" s="3"/>
      <c r="B210" s="14" t="s">
        <v>398</v>
      </c>
      <c r="C210" s="44" t="n">
        <v>-2</v>
      </c>
      <c r="D210" s="44" t="n">
        <v>-1</v>
      </c>
      <c r="E210" s="44" t="n">
        <v>0</v>
      </c>
      <c r="F210" s="44" t="n">
        <v>1</v>
      </c>
      <c r="G210" s="44" t="n">
        <v>2</v>
      </c>
      <c r="H210" s="44" t="n">
        <v>3</v>
      </c>
      <c r="I210" s="44" t="n">
        <v>4</v>
      </c>
      <c r="J210" s="44" t="n">
        <v>5</v>
      </c>
      <c r="K210" s="44" t="n">
        <v>6</v>
      </c>
      <c r="L210" s="44" t="n">
        <v>7</v>
      </c>
      <c r="M210" s="44" t="n">
        <v>8</v>
      </c>
      <c r="N210" s="44" t="n">
        <v>9</v>
      </c>
      <c r="O210" s="44" t="n">
        <v>10</v>
      </c>
      <c r="P210" s="3"/>
    </row>
    <row r="211" customFormat="false" ht="15" hidden="false" customHeight="false" outlineLevel="0" collapsed="false">
      <c r="A211" s="3"/>
      <c r="B211" s="4" t="s">
        <v>399</v>
      </c>
      <c r="C211" s="39" t="n">
        <f aca="false">IF(C$210&gt;=1,Premissas!$D$29*IF(C$210=1,Premissas!$D$37,1),0)</f>
        <v>0</v>
      </c>
      <c r="D211" s="39" t="n">
        <f aca="false">IF(D$210&gt;=1,Premissas!$D$29*IF(D$210=1,Premissas!$D$37,1),0)</f>
        <v>0</v>
      </c>
      <c r="E211" s="39" t="n">
        <f aca="false">IF(E$210&gt;=1,Premissas!$D$29*IF(E$210=1,Premissas!$D$37,1),0)</f>
        <v>0</v>
      </c>
      <c r="F211" s="39" t="n">
        <f aca="false">IF(F$210&gt;=1,Premissas!$D$29*IF(F$210=1,Premissas!$D$37,1),0)</f>
        <v>28.5</v>
      </c>
      <c r="G211" s="39" t="n">
        <f aca="false">IF(G$210&gt;=1,Premissas!$D$29*IF(G$210=1,Premissas!$D$37,1),0)</f>
        <v>30</v>
      </c>
      <c r="H211" s="39" t="n">
        <f aca="false">IF(H$210&gt;=1,Premissas!$D$29*IF(H$210=1,Premissas!$D$37,1),0)</f>
        <v>30</v>
      </c>
      <c r="I211" s="39" t="n">
        <f aca="false">IF(I$210&gt;=1,Premissas!$D$29*IF(I$210=1,Premissas!$D$37,1),0)</f>
        <v>30</v>
      </c>
      <c r="J211" s="39" t="n">
        <f aca="false">IF(J$210&gt;=1,Premissas!$D$29*IF(J$210=1,Premissas!$D$37,1),0)</f>
        <v>30</v>
      </c>
      <c r="K211" s="39" t="n">
        <f aca="false">IF(K$210&gt;=1,Premissas!$D$29*IF(K$210=1,Premissas!$D$37,1),0)</f>
        <v>30</v>
      </c>
      <c r="L211" s="39" t="n">
        <f aca="false">IF(L$210&gt;=1,Premissas!$D$29*IF(L$210=1,Premissas!$D$37,1),0)</f>
        <v>30</v>
      </c>
      <c r="M211" s="39" t="n">
        <f aca="false">IF(M$210&gt;=1,Premissas!$D$29*IF(M$210=1,Premissas!$D$37,1),0)</f>
        <v>30</v>
      </c>
      <c r="N211" s="39" t="n">
        <f aca="false">IF(N$210&gt;=1,Premissas!$D$29*IF(N$210=1,Premissas!$D$37,1),0)</f>
        <v>30</v>
      </c>
      <c r="O211" s="39" t="n">
        <f aca="false">IF(O$210&gt;=1,Premissas!$D$29*IF(O$210=1,Premissas!$D$37,1),0)</f>
        <v>30</v>
      </c>
      <c r="P211" s="3"/>
    </row>
    <row r="212" customFormat="false" ht="15" hidden="false" customHeight="false" outlineLevel="0" collapsed="false">
      <c r="A212" s="3"/>
      <c r="B212" s="4" t="s">
        <v>400</v>
      </c>
      <c r="C212" s="39" t="n">
        <f aca="false">MIN(C211,Premissas!$D$30)</f>
        <v>0</v>
      </c>
      <c r="D212" s="39" t="n">
        <f aca="false">MIN(D211,Premissas!$D$30)</f>
        <v>0</v>
      </c>
      <c r="E212" s="39" t="n">
        <f aca="false">MIN(E211,Premissas!$D$30)</f>
        <v>0</v>
      </c>
      <c r="F212" s="39" t="n">
        <f aca="false">MIN(F211,Premissas!$D$30)</f>
        <v>12</v>
      </c>
      <c r="G212" s="39" t="n">
        <f aca="false">MIN(G211,Premissas!$D$30)</f>
        <v>12</v>
      </c>
      <c r="H212" s="39" t="n">
        <f aca="false">MIN(H211,Premissas!$D$30)</f>
        <v>12</v>
      </c>
      <c r="I212" s="39" t="n">
        <f aca="false">MIN(I211,Premissas!$D$30)</f>
        <v>12</v>
      </c>
      <c r="J212" s="39" t="n">
        <f aca="false">MIN(J211,Premissas!$D$30)</f>
        <v>12</v>
      </c>
      <c r="K212" s="39" t="n">
        <f aca="false">MIN(K211,Premissas!$D$30)</f>
        <v>12</v>
      </c>
      <c r="L212" s="39" t="n">
        <f aca="false">MIN(L211,Premissas!$D$30)</f>
        <v>12</v>
      </c>
      <c r="M212" s="39" t="n">
        <f aca="false">MIN(M211,Premissas!$D$30)</f>
        <v>12</v>
      </c>
      <c r="N212" s="39" t="n">
        <f aca="false">MIN(N211,Premissas!$D$30)</f>
        <v>12</v>
      </c>
      <c r="O212" s="39" t="n">
        <f aca="false">MIN(O211,Premissas!$D$30)</f>
        <v>12</v>
      </c>
      <c r="P212" s="3"/>
    </row>
    <row r="213" customFormat="false" ht="15" hidden="false" customHeight="false" outlineLevel="0" collapsed="false">
      <c r="A213" s="3"/>
      <c r="B213" s="4" t="s">
        <v>401</v>
      </c>
      <c r="C213" s="39" t="n">
        <f aca="false">MIN(C211-C212,Premissas!$D$31)</f>
        <v>0</v>
      </c>
      <c r="D213" s="39" t="n">
        <f aca="false">MIN(D211-D212,Premissas!$D$31)</f>
        <v>0</v>
      </c>
      <c r="E213" s="39" t="n">
        <f aca="false">MIN(E211-E212,Premissas!$D$31)</f>
        <v>0</v>
      </c>
      <c r="F213" s="39" t="n">
        <f aca="false">MIN(F211-F212,Premissas!$D$31)</f>
        <v>4</v>
      </c>
      <c r="G213" s="39" t="n">
        <f aca="false">MIN(G211-G212,Premissas!$D$31)</f>
        <v>4</v>
      </c>
      <c r="H213" s="39" t="n">
        <f aca="false">MIN(H211-H212,Premissas!$D$31)</f>
        <v>4</v>
      </c>
      <c r="I213" s="39" t="n">
        <f aca="false">MIN(I211-I212,Premissas!$D$31)</f>
        <v>4</v>
      </c>
      <c r="J213" s="39" t="n">
        <f aca="false">MIN(J211-J212,Premissas!$D$31)</f>
        <v>4</v>
      </c>
      <c r="K213" s="39" t="n">
        <f aca="false">MIN(K211-K212,Premissas!$D$31)</f>
        <v>4</v>
      </c>
      <c r="L213" s="39" t="n">
        <f aca="false">MIN(L211-L212,Premissas!$D$31)</f>
        <v>4</v>
      </c>
      <c r="M213" s="39" t="n">
        <f aca="false">MIN(M211-M212,Premissas!$D$31)</f>
        <v>4</v>
      </c>
      <c r="N213" s="39" t="n">
        <f aca="false">MIN(N211-N212,Premissas!$D$31)</f>
        <v>4</v>
      </c>
      <c r="O213" s="39" t="n">
        <f aca="false">MIN(O211-O212,Premissas!$D$31)</f>
        <v>4</v>
      </c>
      <c r="P213" s="3"/>
    </row>
    <row r="214" customFormat="false" ht="15" hidden="false" customHeight="false" outlineLevel="0" collapsed="false">
      <c r="A214" s="3"/>
      <c r="B214" s="4" t="s">
        <v>402</v>
      </c>
      <c r="C214" s="39" t="n">
        <f aca="false">C211-C212-C213</f>
        <v>0</v>
      </c>
      <c r="D214" s="39" t="n">
        <f aca="false">D211-D212-D213</f>
        <v>0</v>
      </c>
      <c r="E214" s="39" t="n">
        <f aca="false">E211-E212-E213</f>
        <v>0</v>
      </c>
      <c r="F214" s="39" t="n">
        <f aca="false">F211-F212-F213</f>
        <v>12.5</v>
      </c>
      <c r="G214" s="39" t="n">
        <f aca="false">G211-G212-G213</f>
        <v>14</v>
      </c>
      <c r="H214" s="39" t="n">
        <f aca="false">H211-H212-H213</f>
        <v>14</v>
      </c>
      <c r="I214" s="39" t="n">
        <f aca="false">I211-I212-I213</f>
        <v>14</v>
      </c>
      <c r="J214" s="39" t="n">
        <f aca="false">J211-J212-J213</f>
        <v>14</v>
      </c>
      <c r="K214" s="39" t="n">
        <f aca="false">K211-K212-K213</f>
        <v>14</v>
      </c>
      <c r="L214" s="39" t="n">
        <f aca="false">L211-L212-L213</f>
        <v>14</v>
      </c>
      <c r="M214" s="39" t="n">
        <f aca="false">M211-M212-M213</f>
        <v>14</v>
      </c>
      <c r="N214" s="39" t="n">
        <f aca="false">N211-N212-N213</f>
        <v>14</v>
      </c>
      <c r="O214" s="39" t="n">
        <f aca="false">O211-O212-O213</f>
        <v>14</v>
      </c>
      <c r="P214" s="3"/>
    </row>
    <row r="215" customFormat="false" ht="15" hidden="false" customHeight="false" outlineLevel="0" collapsed="false">
      <c r="A215" s="3"/>
      <c r="B215" s="4" t="s">
        <v>403</v>
      </c>
      <c r="C215" s="45" t="n">
        <f aca="false">IF(C$210&gt;=1,(1+Premissas!$B$8)^(C$210-1),0)</f>
        <v>0</v>
      </c>
      <c r="D215" s="45" t="n">
        <f aca="false">IF(D$210&gt;=1,(1+Premissas!$B$8)^(D$210-1),0)</f>
        <v>0</v>
      </c>
      <c r="E215" s="45" t="n">
        <f aca="false">IF(E$210&gt;=1,(1+Premissas!$B$8)^(E$210-1),0)</f>
        <v>0</v>
      </c>
      <c r="F215" s="45" t="n">
        <f aca="false">IF(F$210&gt;=1,(1+Premissas!$B$8)^(F$210-1),0)</f>
        <v>1</v>
      </c>
      <c r="G215" s="45" t="n">
        <f aca="false">IF(G$210&gt;=1,(1+Premissas!$B$8)^(G$210-1),0)</f>
        <v>1.025</v>
      </c>
      <c r="H215" s="45" t="n">
        <f aca="false">IF(H$210&gt;=1,(1+Premissas!$B$8)^(H$210-1),0)</f>
        <v>1.050625</v>
      </c>
      <c r="I215" s="45" t="n">
        <f aca="false">IF(I$210&gt;=1,(1+Premissas!$B$8)^(I$210-1),0)</f>
        <v>1.076890625</v>
      </c>
      <c r="J215" s="45" t="n">
        <f aca="false">IF(J$210&gt;=1,(1+Premissas!$B$8)^(J$210-1),0)</f>
        <v>1.103812890625</v>
      </c>
      <c r="K215" s="45" t="n">
        <f aca="false">IF(K$210&gt;=1,(1+Premissas!$B$8)^(K$210-1),0)</f>
        <v>1.13140821289062</v>
      </c>
      <c r="L215" s="45" t="n">
        <f aca="false">IF(L$210&gt;=1,(1+Premissas!$B$8)^(L$210-1),0)</f>
        <v>1.15969341821289</v>
      </c>
      <c r="M215" s="45" t="n">
        <f aca="false">IF(M$210&gt;=1,(1+Premissas!$B$8)^(M$210-1),0)</f>
        <v>1.18868575366821</v>
      </c>
      <c r="N215" s="45" t="n">
        <f aca="false">IF(N$210&gt;=1,(1+Premissas!$B$8)^(N$210-1),0)</f>
        <v>1.21840289750992</v>
      </c>
      <c r="O215" s="45" t="n">
        <f aca="false">IF(O$210&gt;=1,(1+Premissas!$B$8)^(O$210-1),0)</f>
        <v>1.24886296994767</v>
      </c>
      <c r="P215" s="3"/>
    </row>
    <row r="216" customFormat="false" ht="15" hidden="false" customHeight="false" outlineLevel="0" collapsed="false">
      <c r="A216" s="3"/>
      <c r="B216" s="4" t="s">
        <v>404</v>
      </c>
      <c r="C216" s="45" t="n">
        <f aca="false">IF(C$210&gt;=1,(1+Premissas!$B$9)^(C$210-1),0)</f>
        <v>0</v>
      </c>
      <c r="D216" s="45" t="n">
        <f aca="false">IF(D$210&gt;=1,(1+Premissas!$B$9)^(D$210-1),0)</f>
        <v>0</v>
      </c>
      <c r="E216" s="45" t="n">
        <f aca="false">IF(E$210&gt;=1,(1+Premissas!$B$9)^(E$210-1),0)</f>
        <v>0</v>
      </c>
      <c r="F216" s="45" t="n">
        <f aca="false">IF(F$210&gt;=1,(1+Premissas!$B$9)^(F$210-1),0)</f>
        <v>1</v>
      </c>
      <c r="G216" s="45" t="n">
        <f aca="false">IF(G$210&gt;=1,(1+Premissas!$B$9)^(G$210-1),0)</f>
        <v>1.03</v>
      </c>
      <c r="H216" s="45" t="n">
        <f aca="false">IF(H$210&gt;=1,(1+Premissas!$B$9)^(H$210-1),0)</f>
        <v>1.0609</v>
      </c>
      <c r="I216" s="45" t="n">
        <f aca="false">IF(I$210&gt;=1,(1+Premissas!$B$9)^(I$210-1),0)</f>
        <v>1.092727</v>
      </c>
      <c r="J216" s="45" t="n">
        <f aca="false">IF(J$210&gt;=1,(1+Premissas!$B$9)^(J$210-1),0)</f>
        <v>1.12550881</v>
      </c>
      <c r="K216" s="45" t="n">
        <f aca="false">IF(K$210&gt;=1,(1+Premissas!$B$9)^(K$210-1),0)</f>
        <v>1.1592740743</v>
      </c>
      <c r="L216" s="45" t="n">
        <f aca="false">IF(L$210&gt;=1,(1+Premissas!$B$9)^(L$210-1),0)</f>
        <v>1.194052296529</v>
      </c>
      <c r="M216" s="45" t="n">
        <f aca="false">IF(M$210&gt;=1,(1+Premissas!$B$9)^(M$210-1),0)</f>
        <v>1.22987386542487</v>
      </c>
      <c r="N216" s="45" t="n">
        <f aca="false">IF(N$210&gt;=1,(1+Premissas!$B$9)^(N$210-1),0)</f>
        <v>1.26677008138762</v>
      </c>
      <c r="O216" s="45" t="n">
        <f aca="false">IF(O$210&gt;=1,(1+Premissas!$B$9)^(O$210-1),0)</f>
        <v>1.30477318382925</v>
      </c>
      <c r="P216" s="3"/>
    </row>
    <row r="217" customFormat="false" ht="15" hidden="false" customHeight="false" outlineLevel="0" collapsed="false">
      <c r="A217" s="3"/>
      <c r="B217" s="4" t="s">
        <v>405</v>
      </c>
      <c r="C217" s="36" t="n">
        <f aca="false">C212*Premissas!$C$77*Premissas!$D$32*C215</f>
        <v>0</v>
      </c>
      <c r="D217" s="36" t="n">
        <f aca="false">D212*Premissas!$C$77*Premissas!$D$32*D215</f>
        <v>0</v>
      </c>
      <c r="E217" s="36" t="n">
        <f aca="false">E212*Premissas!$C$77*Premissas!$D$32*E215</f>
        <v>0</v>
      </c>
      <c r="F217" s="36" t="n">
        <f aca="false">F212*Premissas!$C$77*Premissas!$D$32*F215</f>
        <v>3564000</v>
      </c>
      <c r="G217" s="36" t="n">
        <f aca="false">G212*Premissas!$C$77*Premissas!$D$32*G215</f>
        <v>3653100</v>
      </c>
      <c r="H217" s="36" t="n">
        <f aca="false">H212*Premissas!$C$77*Premissas!$D$32*H215</f>
        <v>3744427.5</v>
      </c>
      <c r="I217" s="36" t="n">
        <f aca="false">I212*Premissas!$C$77*Premissas!$D$32*I215</f>
        <v>3838038.1875</v>
      </c>
      <c r="J217" s="36" t="n">
        <f aca="false">J212*Premissas!$C$77*Premissas!$D$32*J215</f>
        <v>3933989.1421875</v>
      </c>
      <c r="K217" s="36" t="n">
        <f aca="false">K212*Premissas!$C$77*Premissas!$D$32*K215</f>
        <v>4032338.87074219</v>
      </c>
      <c r="L217" s="36" t="n">
        <f aca="false">L212*Premissas!$C$77*Premissas!$D$32*L215</f>
        <v>4133147.34251074</v>
      </c>
      <c r="M217" s="36" t="n">
        <f aca="false">M212*Premissas!$C$77*Premissas!$D$32*M215</f>
        <v>4236476.02607351</v>
      </c>
      <c r="N217" s="36" t="n">
        <f aca="false">N212*Premissas!$C$77*Premissas!$D$32*N215</f>
        <v>4342387.92672535</v>
      </c>
      <c r="O217" s="36" t="n">
        <f aca="false">O212*Premissas!$C$77*Premissas!$D$32*O215</f>
        <v>4450947.62489348</v>
      </c>
      <c r="P217" s="3"/>
    </row>
    <row r="218" customFormat="false" ht="15" hidden="false" customHeight="false" outlineLevel="0" collapsed="false">
      <c r="A218" s="3"/>
      <c r="B218" s="4" t="s">
        <v>406</v>
      </c>
      <c r="C218" s="36" t="n">
        <f aca="false">C214*Premissas!$C$77*Premissas!$D$32*(1-Premissas!$B$12)*C215</f>
        <v>0</v>
      </c>
      <c r="D218" s="36" t="n">
        <f aca="false">D214*Premissas!$C$77*Premissas!$D$32*(1-Premissas!$B$12)*D215</f>
        <v>0</v>
      </c>
      <c r="E218" s="36" t="n">
        <f aca="false">E214*Premissas!$C$77*Premissas!$D$32*(1-Premissas!$B$12)*E215</f>
        <v>0</v>
      </c>
      <c r="F218" s="36" t="n">
        <f aca="false">F214*Premissas!$C$77*Premissas!$D$32*(1-Premissas!$B$12)*F215</f>
        <v>3155625</v>
      </c>
      <c r="G218" s="36" t="n">
        <f aca="false">G214*Premissas!$C$77*Premissas!$D$32*(1-Premissas!$B$12)*G215</f>
        <v>3622657.5</v>
      </c>
      <c r="H218" s="36" t="n">
        <f aca="false">H214*Premissas!$C$77*Premissas!$D$32*(1-Premissas!$B$12)*H215</f>
        <v>3713223.9375</v>
      </c>
      <c r="I218" s="36" t="n">
        <f aca="false">I214*Premissas!$C$77*Premissas!$D$32*(1-Premissas!$B$12)*I215</f>
        <v>3806054.5359375</v>
      </c>
      <c r="J218" s="36" t="n">
        <f aca="false">J214*Premissas!$C$77*Premissas!$D$32*(1-Premissas!$B$12)*J215</f>
        <v>3901205.89933594</v>
      </c>
      <c r="K218" s="36" t="n">
        <f aca="false">K214*Premissas!$C$77*Premissas!$D$32*(1-Premissas!$B$12)*K215</f>
        <v>3998736.04681933</v>
      </c>
      <c r="L218" s="36" t="n">
        <f aca="false">L214*Premissas!$C$77*Premissas!$D$32*(1-Premissas!$B$12)*L215</f>
        <v>4098704.44798982</v>
      </c>
      <c r="M218" s="36" t="n">
        <f aca="false">M214*Premissas!$C$77*Premissas!$D$32*(1-Premissas!$B$12)*M215</f>
        <v>4201172.05918956</v>
      </c>
      <c r="N218" s="36" t="n">
        <f aca="false">N214*Premissas!$C$77*Premissas!$D$32*(1-Premissas!$B$12)*N215</f>
        <v>4306201.3606693</v>
      </c>
      <c r="O218" s="36" t="n">
        <f aca="false">O214*Premissas!$C$77*Premissas!$D$32*(1-Premissas!$B$12)*O215</f>
        <v>4413856.39468603</v>
      </c>
      <c r="P218" s="3"/>
    </row>
    <row r="219" customFormat="false" ht="15" hidden="false" customHeight="false" outlineLevel="0" collapsed="false">
      <c r="A219" s="3"/>
      <c r="B219" s="4" t="s">
        <v>407</v>
      </c>
      <c r="C219" s="36" t="n">
        <f aca="false">C213*Premissas!$C$44*Premissas!$D$38*Premissas!$C$78*Premissas!$D$32*(1-Premissas!$B$12)*C215</f>
        <v>0</v>
      </c>
      <c r="D219" s="36" t="n">
        <f aca="false">D213*Premissas!$C$44*Premissas!$D$38*Premissas!$C$78*Premissas!$D$32*(1-Premissas!$B$12)*D215</f>
        <v>0</v>
      </c>
      <c r="E219" s="36" t="n">
        <f aca="false">E213*Premissas!$C$44*Premissas!$D$38*Premissas!$C$78*Premissas!$D$32*(1-Premissas!$B$12)*E215</f>
        <v>0</v>
      </c>
      <c r="F219" s="36" t="n">
        <f aca="false">F213*Premissas!$C$44*Premissas!$D$38*Premissas!$C$78*Premissas!$D$32*(1-Premissas!$B$12)*F215</f>
        <v>984218.4</v>
      </c>
      <c r="G219" s="36" t="n">
        <f aca="false">G213*Premissas!$C$44*Premissas!$D$38*Premissas!$C$78*Premissas!$D$32*(1-Premissas!$B$12)*G215</f>
        <v>1008823.86</v>
      </c>
      <c r="H219" s="36" t="n">
        <f aca="false">H213*Premissas!$C$44*Premissas!$D$38*Premissas!$C$78*Premissas!$D$32*(1-Premissas!$B$12)*H215</f>
        <v>1034044.4565</v>
      </c>
      <c r="I219" s="36" t="n">
        <f aca="false">I213*Premissas!$C$44*Premissas!$D$38*Premissas!$C$78*Premissas!$D$32*(1-Premissas!$B$12)*I215</f>
        <v>1059895.5679125</v>
      </c>
      <c r="J219" s="36" t="n">
        <f aca="false">J213*Premissas!$C$44*Premissas!$D$38*Premissas!$C$78*Premissas!$D$32*(1-Premissas!$B$12)*J215</f>
        <v>1086392.95711031</v>
      </c>
      <c r="K219" s="36" t="n">
        <f aca="false">K213*Premissas!$C$44*Premissas!$D$38*Premissas!$C$78*Premissas!$D$32*(1-Premissas!$B$12)*K215</f>
        <v>1113552.78103807</v>
      </c>
      <c r="L219" s="36" t="n">
        <f aca="false">L213*Premissas!$C$44*Premissas!$D$38*Premissas!$C$78*Premissas!$D$32*(1-Premissas!$B$12)*L215</f>
        <v>1141391.60056402</v>
      </c>
      <c r="M219" s="36" t="n">
        <f aca="false">M213*Premissas!$C$44*Premissas!$D$38*Premissas!$C$78*Premissas!$D$32*(1-Premissas!$B$12)*M215</f>
        <v>1169926.39057812</v>
      </c>
      <c r="N219" s="36" t="n">
        <f aca="false">N213*Premissas!$C$44*Premissas!$D$38*Premissas!$C$78*Premissas!$D$32*(1-Premissas!$B$12)*N215</f>
        <v>1199174.55034257</v>
      </c>
      <c r="O219" s="36" t="n">
        <f aca="false">O213*Premissas!$C$44*Premissas!$D$38*Premissas!$C$78*Premissas!$D$32*(1-Premissas!$B$12)*O215</f>
        <v>1229153.91410114</v>
      </c>
      <c r="P219" s="3"/>
    </row>
    <row r="220" customFormat="false" ht="15" hidden="false" customHeight="false" outlineLevel="0" collapsed="false">
      <c r="A220" s="3"/>
      <c r="B220" s="4" t="s">
        <v>408</v>
      </c>
      <c r="C220" s="36" t="n">
        <f aca="false">C211*Premissas!$C$44*Premissas!$B$14*Premissas!$B$13*C215</f>
        <v>0</v>
      </c>
      <c r="D220" s="36" t="n">
        <f aca="false">D211*Premissas!$C$44*Premissas!$B$14*Premissas!$B$13*D215</f>
        <v>0</v>
      </c>
      <c r="E220" s="36" t="n">
        <f aca="false">E211*Premissas!$C$44*Premissas!$B$14*Premissas!$B$13*E215</f>
        <v>0</v>
      </c>
      <c r="F220" s="36" t="n">
        <f aca="false">F211*Premissas!$C$44*Premissas!$B$14*Premissas!$B$13*F215</f>
        <v>277020</v>
      </c>
      <c r="G220" s="36" t="n">
        <f aca="false">G211*Premissas!$C$44*Premissas!$B$14*Premissas!$B$13*G215</f>
        <v>298890</v>
      </c>
      <c r="H220" s="36" t="n">
        <f aca="false">H211*Premissas!$C$44*Premissas!$B$14*Premissas!$B$13*H215</f>
        <v>306362.25</v>
      </c>
      <c r="I220" s="36" t="n">
        <f aca="false">I211*Premissas!$C$44*Premissas!$B$14*Premissas!$B$13*I215</f>
        <v>314021.30625</v>
      </c>
      <c r="J220" s="36" t="n">
        <f aca="false">J211*Premissas!$C$44*Premissas!$B$14*Premissas!$B$13*J215</f>
        <v>321871.83890625</v>
      </c>
      <c r="K220" s="36" t="n">
        <f aca="false">K211*Premissas!$C$44*Premissas!$B$14*Premissas!$B$13*K215</f>
        <v>329918.634878906</v>
      </c>
      <c r="L220" s="36" t="n">
        <f aca="false">L211*Premissas!$C$44*Premissas!$B$14*Premissas!$B$13*L215</f>
        <v>338166.600750879</v>
      </c>
      <c r="M220" s="36" t="n">
        <f aca="false">M211*Premissas!$C$44*Premissas!$B$14*Premissas!$B$13*M215</f>
        <v>346620.765769651</v>
      </c>
      <c r="N220" s="36" t="n">
        <f aca="false">N211*Premissas!$C$44*Premissas!$B$14*Premissas!$B$13*N215</f>
        <v>355286.284913892</v>
      </c>
      <c r="O220" s="36" t="n">
        <f aca="false">O211*Premissas!$C$44*Premissas!$B$14*Premissas!$B$13*O215</f>
        <v>364168.442036739</v>
      </c>
      <c r="P220" s="3"/>
    </row>
    <row r="221" customFormat="false" ht="15" hidden="false" customHeight="false" outlineLevel="0" collapsed="false">
      <c r="A221" s="3"/>
      <c r="B221" s="14" t="s">
        <v>409</v>
      </c>
      <c r="C221" s="33" t="n">
        <f aca="false">SUM(C217:C220)</f>
        <v>0</v>
      </c>
      <c r="D221" s="33" t="n">
        <f aca="false">SUM(D217:D220)</f>
        <v>0</v>
      </c>
      <c r="E221" s="33" t="n">
        <f aca="false">SUM(E217:E220)</f>
        <v>0</v>
      </c>
      <c r="F221" s="33" t="n">
        <f aca="false">SUM(F217:F220)</f>
        <v>7980863.4</v>
      </c>
      <c r="G221" s="33" t="n">
        <f aca="false">SUM(G217:G220)</f>
        <v>8583471.36</v>
      </c>
      <c r="H221" s="33" t="n">
        <f aca="false">SUM(H217:H220)</f>
        <v>8798058.144</v>
      </c>
      <c r="I221" s="33" t="n">
        <f aca="false">SUM(I217:I220)</f>
        <v>9018009.5976</v>
      </c>
      <c r="J221" s="33" t="n">
        <f aca="false">SUM(J217:J220)</f>
        <v>9243459.83754</v>
      </c>
      <c r="K221" s="33" t="n">
        <f aca="false">SUM(K217:K220)</f>
        <v>9474546.3334785</v>
      </c>
      <c r="L221" s="33" t="n">
        <f aca="false">SUM(L217:L220)</f>
        <v>9711409.99181546</v>
      </c>
      <c r="M221" s="33" t="n">
        <f aca="false">SUM(M217:M220)</f>
        <v>9954195.24161085</v>
      </c>
      <c r="N221" s="33" t="n">
        <f aca="false">SUM(N217:N220)</f>
        <v>10203050.1226511</v>
      </c>
      <c r="O221" s="33" t="n">
        <f aca="false">SUM(O217:O220)</f>
        <v>10458126.3757174</v>
      </c>
      <c r="P221" s="3"/>
    </row>
    <row r="222" customFormat="false" ht="15" hidden="false" customHeight="false" outlineLevel="0" collapsed="false">
      <c r="A222" s="3"/>
      <c r="B222" s="4" t="s">
        <v>410</v>
      </c>
      <c r="C222" s="36" t="n">
        <f aca="false">-C211*(Premissas!$C$70*Premissas!$D$34/Premissas!$B$6+Premissas!$C$75)*Premissas!$D$33*C216</f>
        <v>-0</v>
      </c>
      <c r="D222" s="36" t="n">
        <f aca="false">-D211*(Premissas!$C$70*Premissas!$D$34/Premissas!$B$6+Premissas!$C$75)*Premissas!$D$33*D216</f>
        <v>-0</v>
      </c>
      <c r="E222" s="36" t="n">
        <f aca="false">-E211*(Premissas!$C$70*Premissas!$D$34/Premissas!$B$6+Premissas!$C$75)*Premissas!$D$33*E216</f>
        <v>-0</v>
      </c>
      <c r="F222" s="36" t="n">
        <f aca="false">-F211*(Premissas!$C$70*Premissas!$D$34/Premissas!$B$6+Premissas!$C$75)*Premissas!$D$33*F216</f>
        <v>-1349319.1173913</v>
      </c>
      <c r="G222" s="36" t="n">
        <f aca="false">-G211*(Premissas!$C$70*Premissas!$D$34/Premissas!$B$6+Premissas!$C$75)*Premissas!$D$33*G216</f>
        <v>-1462945.99043478</v>
      </c>
      <c r="H222" s="36" t="n">
        <f aca="false">-H211*(Premissas!$C$70*Premissas!$D$34/Premissas!$B$6+Premissas!$C$75)*Premissas!$D$33*H216</f>
        <v>-1506834.37014783</v>
      </c>
      <c r="I222" s="36" t="n">
        <f aca="false">-I211*(Premissas!$C$70*Premissas!$D$34/Premissas!$B$6+Premissas!$C$75)*Premissas!$D$33*I216</f>
        <v>-1552039.40125226</v>
      </c>
      <c r="J222" s="36" t="n">
        <f aca="false">-J211*(Premissas!$C$70*Premissas!$D$34/Premissas!$B$6+Premissas!$C$75)*Premissas!$D$33*J216</f>
        <v>-1598600.58328983</v>
      </c>
      <c r="K222" s="36" t="n">
        <f aca="false">-K211*(Premissas!$C$70*Premissas!$D$34/Premissas!$B$6+Premissas!$C$75)*Premissas!$D$33*K216</f>
        <v>-1646558.60078852</v>
      </c>
      <c r="L222" s="36" t="n">
        <f aca="false">-L211*(Premissas!$C$70*Premissas!$D$34/Premissas!$B$6+Premissas!$C$75)*Premissas!$D$33*L216</f>
        <v>-1695955.35881218</v>
      </c>
      <c r="M222" s="36" t="n">
        <f aca="false">-M211*(Premissas!$C$70*Premissas!$D$34/Premissas!$B$6+Premissas!$C$75)*Premissas!$D$33*M216</f>
        <v>-1746834.01957654</v>
      </c>
      <c r="N222" s="36" t="n">
        <f aca="false">-N211*(Premissas!$C$70*Premissas!$D$34/Premissas!$B$6+Premissas!$C$75)*Premissas!$D$33*N216</f>
        <v>-1799239.04016384</v>
      </c>
      <c r="O222" s="36" t="n">
        <f aca="false">-O211*(Premissas!$C$70*Premissas!$D$34/Premissas!$B$6+Premissas!$C$75)*Premissas!$D$33*O216</f>
        <v>-1853216.21136876</v>
      </c>
      <c r="P222" s="3"/>
    </row>
    <row r="223" customFormat="false" ht="15" hidden="false" customHeight="false" outlineLevel="0" collapsed="false">
      <c r="A223" s="3"/>
      <c r="B223" s="4" t="s">
        <v>411</v>
      </c>
      <c r="C223" s="36" t="n">
        <f aca="false">-IF(C$210&gt;=1,Premissas!$C$68*Premissas!$D$33*C216,0)</f>
        <v>-0</v>
      </c>
      <c r="D223" s="36" t="n">
        <f aca="false">-IF(D$210&gt;=1,Premissas!$C$68*Premissas!$D$33*D216,0)</f>
        <v>-0</v>
      </c>
      <c r="E223" s="36" t="n">
        <f aca="false">-IF(E$210&gt;=1,Premissas!$C$68*Premissas!$D$33*E216,0)</f>
        <v>-0</v>
      </c>
      <c r="F223" s="36" t="n">
        <f aca="false">-IF(F$210&gt;=1,Premissas!$C$68*Premissas!$D$33*F216,0)</f>
        <v>-3281015</v>
      </c>
      <c r="G223" s="36" t="n">
        <f aca="false">-IF(G$210&gt;=1,Premissas!$C$68*Premissas!$D$33*G216,0)</f>
        <v>-3379445.45</v>
      </c>
      <c r="H223" s="36" t="n">
        <f aca="false">-IF(H$210&gt;=1,Premissas!$C$68*Premissas!$D$33*H216,0)</f>
        <v>-3480828.8135</v>
      </c>
      <c r="I223" s="36" t="n">
        <f aca="false">-IF(I$210&gt;=1,Premissas!$C$68*Premissas!$D$33*I216,0)</f>
        <v>-3585253.677905</v>
      </c>
      <c r="J223" s="36" t="n">
        <f aca="false">-IF(J$210&gt;=1,Premissas!$C$68*Premissas!$D$33*J216,0)</f>
        <v>-3692811.28824215</v>
      </c>
      <c r="K223" s="36" t="n">
        <f aca="false">-IF(K$210&gt;=1,Premissas!$C$68*Premissas!$D$33*K216,0)</f>
        <v>-3803595.62688941</v>
      </c>
      <c r="L223" s="36" t="n">
        <f aca="false">-IF(L$210&gt;=1,Premissas!$C$68*Premissas!$D$33*L216,0)</f>
        <v>-3917703.4956961</v>
      </c>
      <c r="M223" s="36" t="n">
        <f aca="false">-IF(M$210&gt;=1,Premissas!$C$68*Premissas!$D$33*M216,0)</f>
        <v>-4035234.60056698</v>
      </c>
      <c r="N223" s="36" t="n">
        <f aca="false">-IF(N$210&gt;=1,Premissas!$C$68*Premissas!$D$33*N216,0)</f>
        <v>-4156291.63858399</v>
      </c>
      <c r="O223" s="36" t="n">
        <f aca="false">-IF(O$210&gt;=1,Premissas!$C$68*Premissas!$D$33*O216,0)</f>
        <v>-4280980.38774151</v>
      </c>
      <c r="P223" s="3"/>
    </row>
    <row r="224" customFormat="false" ht="15" hidden="false" customHeight="false" outlineLevel="0" collapsed="false">
      <c r="A224" s="3"/>
      <c r="B224" s="14" t="s">
        <v>412</v>
      </c>
      <c r="C224" s="33" t="n">
        <f aca="false">C221+C222+C223</f>
        <v>0</v>
      </c>
      <c r="D224" s="33" t="n">
        <f aca="false">D221+D222+D223</f>
        <v>0</v>
      </c>
      <c r="E224" s="33" t="n">
        <f aca="false">E221+E222+E223</f>
        <v>0</v>
      </c>
      <c r="F224" s="33" t="n">
        <f aca="false">F221+F222+F223</f>
        <v>3350529.2826087</v>
      </c>
      <c r="G224" s="33" t="n">
        <f aca="false">G221+G222+G223</f>
        <v>3741079.91956522</v>
      </c>
      <c r="H224" s="33" t="n">
        <f aca="false">H221+H222+H223</f>
        <v>3810394.96035217</v>
      </c>
      <c r="I224" s="33" t="n">
        <f aca="false">I221+I222+I223</f>
        <v>3880716.51844274</v>
      </c>
      <c r="J224" s="33" t="n">
        <f aca="false">J221+J222+J223</f>
        <v>3952047.96600802</v>
      </c>
      <c r="K224" s="33" t="n">
        <f aca="false">K221+K222+K223</f>
        <v>4024392.10580056</v>
      </c>
      <c r="L224" s="33" t="n">
        <f aca="false">L221+L222+L223</f>
        <v>4097751.13730718</v>
      </c>
      <c r="M224" s="33" t="n">
        <f aca="false">M221+M222+M223</f>
        <v>4172126.62146732</v>
      </c>
      <c r="N224" s="33" t="n">
        <f aca="false">N221+N222+N223</f>
        <v>4247519.44390328</v>
      </c>
      <c r="O224" s="33" t="n">
        <f aca="false">O221+O222+O223</f>
        <v>4323929.77660712</v>
      </c>
      <c r="P224" s="3"/>
    </row>
    <row r="225" customFormat="false" ht="15" hidden="false" customHeight="false" outlineLevel="0" collapsed="false">
      <c r="A225" s="3"/>
      <c r="B225" s="4" t="s">
        <v>413</v>
      </c>
      <c r="C225" s="42" t="n">
        <f aca="false">IF(C221=0,0,C224/C221)</f>
        <v>0</v>
      </c>
      <c r="D225" s="42" t="n">
        <f aca="false">IF(D221=0,0,D224/D221)</f>
        <v>0</v>
      </c>
      <c r="E225" s="42" t="n">
        <f aca="false">IF(E221=0,0,E224/E221)</f>
        <v>0</v>
      </c>
      <c r="F225" s="42" t="n">
        <f aca="false">IF(F221=0,0,F224/F221)</f>
        <v>0.419820402214715</v>
      </c>
      <c r="G225" s="42" t="n">
        <f aca="false">IF(G221=0,0,G224/G221)</f>
        <v>0.435846962453803</v>
      </c>
      <c r="H225" s="42" t="n">
        <f aca="false">IF(H221=0,0,H224/H221)</f>
        <v>0.433094996416993</v>
      </c>
      <c r="I225" s="42" t="n">
        <f aca="false">IF(I221=0,0,I224/I221)</f>
        <v>0.430329606155612</v>
      </c>
      <c r="J225" s="42" t="n">
        <f aca="false">IF(J221=0,0,J224/J221)</f>
        <v>0.427550726185639</v>
      </c>
      <c r="K225" s="42" t="n">
        <f aca="false">IF(K221=0,0,K224/K221)</f>
        <v>0.424758290703618</v>
      </c>
      <c r="L225" s="42" t="n">
        <f aca="false">IF(L221=0,0,L224/L221)</f>
        <v>0.421952233585099</v>
      </c>
      <c r="M225" s="42" t="n">
        <f aca="false">IF(M221=0,0,M224/M221)</f>
        <v>0.419132488383075</v>
      </c>
      <c r="N225" s="42" t="n">
        <f aca="false">IF(N221=0,0,N224/N221)</f>
        <v>0.416298988326407</v>
      </c>
      <c r="O225" s="42" t="n">
        <f aca="false">IF(O221=0,0,O224/O221)</f>
        <v>0.413451666318243</v>
      </c>
      <c r="P225" s="3"/>
    </row>
    <row r="226" customFormat="false" ht="15" hidden="false" customHeight="false" outlineLevel="0" collapsed="false">
      <c r="A226" s="3"/>
      <c r="B226" s="4" t="s">
        <v>414</v>
      </c>
      <c r="C226" s="36" t="n">
        <f aca="false">-IF(C$210&gt;=1,Premissas!$C$52*(1-Premissas!$D$36)/10,0)</f>
        <v>-0</v>
      </c>
      <c r="D226" s="36" t="n">
        <f aca="false">-IF(D$210&gt;=1,Premissas!$C$52*(1-Premissas!$D$36)/10,0)</f>
        <v>-0</v>
      </c>
      <c r="E226" s="36" t="n">
        <f aca="false">-IF(E$210&gt;=1,Premissas!$C$52*(1-Premissas!$D$36)/10,0)</f>
        <v>-0</v>
      </c>
      <c r="F226" s="36" t="n">
        <f aca="false">-IF(F$210&gt;=1,Premissas!$C$52*(1-Premissas!$D$36)/10,0)</f>
        <v>-856000</v>
      </c>
      <c r="G226" s="36" t="n">
        <f aca="false">-IF(G$210&gt;=1,Premissas!$C$52*(1-Premissas!$D$36)/10,0)</f>
        <v>-856000</v>
      </c>
      <c r="H226" s="36" t="n">
        <f aca="false">-IF(H$210&gt;=1,Premissas!$C$52*(1-Premissas!$D$36)/10,0)</f>
        <v>-856000</v>
      </c>
      <c r="I226" s="36" t="n">
        <f aca="false">-IF(I$210&gt;=1,Premissas!$C$52*(1-Premissas!$D$36)/10,0)</f>
        <v>-856000</v>
      </c>
      <c r="J226" s="36" t="n">
        <f aca="false">-IF(J$210&gt;=1,Premissas!$C$52*(1-Premissas!$D$36)/10,0)</f>
        <v>-856000</v>
      </c>
      <c r="K226" s="36" t="n">
        <f aca="false">-IF(K$210&gt;=1,Premissas!$C$52*(1-Premissas!$D$36)/10,0)</f>
        <v>-856000</v>
      </c>
      <c r="L226" s="36" t="n">
        <f aca="false">-IF(L$210&gt;=1,Premissas!$C$52*(1-Premissas!$D$36)/10,0)</f>
        <v>-856000</v>
      </c>
      <c r="M226" s="36" t="n">
        <f aca="false">-IF(M$210&gt;=1,Premissas!$C$52*(1-Premissas!$D$36)/10,0)</f>
        <v>-856000</v>
      </c>
      <c r="N226" s="36" t="n">
        <f aca="false">-IF(N$210&gt;=1,Premissas!$C$52*(1-Premissas!$D$36)/10,0)</f>
        <v>-856000</v>
      </c>
      <c r="O226" s="36" t="n">
        <f aca="false">-IF(O$210&gt;=1,Premissas!$C$52*(1-Premissas!$D$36)/10,0)</f>
        <v>-856000</v>
      </c>
      <c r="P226" s="3"/>
    </row>
    <row r="227" customFormat="false" ht="15" hidden="false" customHeight="false" outlineLevel="0" collapsed="false">
      <c r="A227" s="3"/>
      <c r="B227" s="14" t="s">
        <v>415</v>
      </c>
      <c r="C227" s="40" t="n">
        <f aca="false">C224+C226</f>
        <v>0</v>
      </c>
      <c r="D227" s="40" t="n">
        <f aca="false">D224+D226</f>
        <v>0</v>
      </c>
      <c r="E227" s="40" t="n">
        <f aca="false">E224+E226</f>
        <v>0</v>
      </c>
      <c r="F227" s="40" t="n">
        <f aca="false">F224+F226</f>
        <v>2494529.2826087</v>
      </c>
      <c r="G227" s="40" t="n">
        <f aca="false">G224+G226</f>
        <v>2885079.91956522</v>
      </c>
      <c r="H227" s="40" t="n">
        <f aca="false">H224+H226</f>
        <v>2954394.96035217</v>
      </c>
      <c r="I227" s="40" t="n">
        <f aca="false">I224+I226</f>
        <v>3024716.51844274</v>
      </c>
      <c r="J227" s="40" t="n">
        <f aca="false">J224+J226</f>
        <v>3096047.96600802</v>
      </c>
      <c r="K227" s="40" t="n">
        <f aca="false">K224+K226</f>
        <v>3168392.10580056</v>
      </c>
      <c r="L227" s="40" t="n">
        <f aca="false">L224+L226</f>
        <v>3241751.13730718</v>
      </c>
      <c r="M227" s="40" t="n">
        <f aca="false">M224+M226</f>
        <v>3316126.62146732</v>
      </c>
      <c r="N227" s="40" t="n">
        <f aca="false">N224+N226</f>
        <v>3391519.44390328</v>
      </c>
      <c r="O227" s="40" t="n">
        <f aca="false">O224+O226</f>
        <v>3467929.77660712</v>
      </c>
      <c r="P227" s="3"/>
    </row>
    <row r="228" customFormat="false" ht="15" hidden="false" customHeight="false" outlineLevel="0" collapsed="false">
      <c r="A228" s="3"/>
      <c r="B228" s="4" t="s">
        <v>416</v>
      </c>
      <c r="C228" s="36" t="n">
        <f aca="false">-MAX(0,C227)*Premissas!$B$11</f>
        <v>-0</v>
      </c>
      <c r="D228" s="36" t="n">
        <f aca="false">-MAX(0,D227)*Premissas!$B$11</f>
        <v>-0</v>
      </c>
      <c r="E228" s="36" t="n">
        <f aca="false">-MAX(0,E227)*Premissas!$B$11</f>
        <v>-0</v>
      </c>
      <c r="F228" s="36" t="n">
        <f aca="false">-MAX(0,F227)*Premissas!$B$11</f>
        <v>-848139.956086957</v>
      </c>
      <c r="G228" s="36" t="n">
        <f aca="false">-MAX(0,G227)*Premissas!$B$11</f>
        <v>-980927.172652174</v>
      </c>
      <c r="H228" s="36" t="n">
        <f aca="false">-MAX(0,H227)*Premissas!$B$11</f>
        <v>-1004494.28651974</v>
      </c>
      <c r="I228" s="36" t="n">
        <f aca="false">-MAX(0,I227)*Premissas!$B$11</f>
        <v>-1028403.61627053</v>
      </c>
      <c r="J228" s="36" t="n">
        <f aca="false">-MAX(0,J227)*Premissas!$B$11</f>
        <v>-1052656.30844273</v>
      </c>
      <c r="K228" s="36" t="n">
        <f aca="false">-MAX(0,K227)*Premissas!$B$11</f>
        <v>-1077253.31597219</v>
      </c>
      <c r="L228" s="36" t="n">
        <f aca="false">-MAX(0,L227)*Premissas!$B$11</f>
        <v>-1102195.38668444</v>
      </c>
      <c r="M228" s="36" t="n">
        <f aca="false">-MAX(0,M227)*Premissas!$B$11</f>
        <v>-1127483.05129889</v>
      </c>
      <c r="N228" s="36" t="n">
        <f aca="false">-MAX(0,N227)*Premissas!$B$11</f>
        <v>-1153116.61092712</v>
      </c>
      <c r="O228" s="36" t="n">
        <f aca="false">-MAX(0,O227)*Premissas!$B$11</f>
        <v>-1179096.12404642</v>
      </c>
      <c r="P228" s="3"/>
    </row>
    <row r="229" customFormat="false" ht="15" hidden="false" customHeight="false" outlineLevel="0" collapsed="false">
      <c r="A229" s="3"/>
      <c r="B229" s="4" t="s">
        <v>417</v>
      </c>
      <c r="C229" s="36" t="n">
        <f aca="false">-(IF(C$210=3,Premissas!$C$80,0)+IF(C$210=5,Premissas!$C$81,0)+IF(C$210=8,Premissas!$C$82,0)+IF(C$210=10,Premissas!$C$83,0))*C216</f>
        <v>-0</v>
      </c>
      <c r="D229" s="36" t="n">
        <f aca="false">-(IF(D$210=3,Premissas!$C$80,0)+IF(D$210=5,Premissas!$C$81,0)+IF(D$210=8,Premissas!$C$82,0)+IF(D$210=10,Premissas!$C$83,0))*D216</f>
        <v>-0</v>
      </c>
      <c r="E229" s="36" t="n">
        <f aca="false">-(IF(E$210=3,Premissas!$C$80,0)+IF(E$210=5,Premissas!$C$81,0)+IF(E$210=8,Premissas!$C$82,0)+IF(E$210=10,Premissas!$C$83,0))*E216</f>
        <v>-0</v>
      </c>
      <c r="F229" s="36" t="n">
        <f aca="false">-(IF(F$210=3,Premissas!$C$80,0)+IF(F$210=5,Premissas!$C$81,0)+IF(F$210=8,Premissas!$C$82,0)+IF(F$210=10,Premissas!$C$83,0))*F216</f>
        <v>-0</v>
      </c>
      <c r="G229" s="36" t="n">
        <f aca="false">-(IF(G$210=3,Premissas!$C$80,0)+IF(G$210=5,Premissas!$C$81,0)+IF(G$210=8,Premissas!$C$82,0)+IF(G$210=10,Premissas!$C$83,0))*G216</f>
        <v>-0</v>
      </c>
      <c r="H229" s="36" t="n">
        <f aca="false">-(IF(H$210=3,Premissas!$C$80,0)+IF(H$210=5,Premissas!$C$81,0)+IF(H$210=8,Premissas!$C$82,0)+IF(H$210=10,Premissas!$C$83,0))*H216</f>
        <v>-477405</v>
      </c>
      <c r="I229" s="36" t="n">
        <f aca="false">-(IF(I$210=3,Premissas!$C$80,0)+IF(I$210=5,Premissas!$C$81,0)+IF(I$210=8,Premissas!$C$82,0)+IF(I$210=10,Premissas!$C$83,0))*I216</f>
        <v>-0</v>
      </c>
      <c r="J229" s="36" t="n">
        <f aca="false">-(IF(J$210=3,Premissas!$C$80,0)+IF(J$210=5,Premissas!$C$81,0)+IF(J$210=8,Premissas!$C$82,0)+IF(J$210=10,Premissas!$C$83,0))*J216</f>
        <v>-1125508.81</v>
      </c>
      <c r="K229" s="36" t="n">
        <f aca="false">-(IF(K$210=3,Premissas!$C$80,0)+IF(K$210=5,Premissas!$C$81,0)+IF(K$210=8,Premissas!$C$82,0)+IF(K$210=10,Premissas!$C$83,0))*K216</f>
        <v>-0</v>
      </c>
      <c r="L229" s="36" t="n">
        <f aca="false">-(IF(L$210=3,Premissas!$C$80,0)+IF(L$210=5,Premissas!$C$81,0)+IF(L$210=8,Premissas!$C$82,0)+IF(L$210=10,Premissas!$C$83,0))*L216</f>
        <v>-0</v>
      </c>
      <c r="M229" s="36" t="n">
        <f aca="false">-(IF(M$210=3,Premissas!$C$80,0)+IF(M$210=5,Premissas!$C$81,0)+IF(M$210=8,Premissas!$C$82,0)+IF(M$210=10,Premissas!$C$83,0))*M216</f>
        <v>-614936.932712435</v>
      </c>
      <c r="N229" s="36" t="n">
        <f aca="false">-(IF(N$210=3,Premissas!$C$80,0)+IF(N$210=5,Premissas!$C$81,0)+IF(N$210=8,Premissas!$C$82,0)+IF(N$210=10,Premissas!$C$83,0))*N216</f>
        <v>-0</v>
      </c>
      <c r="O229" s="36" t="n">
        <f aca="false">-(IF(O$210=3,Premissas!$C$80,0)+IF(O$210=5,Premissas!$C$81,0)+IF(O$210=8,Premissas!$C$82,0)+IF(O$210=10,Premissas!$C$83,0))*O216</f>
        <v>-1435250.50221217</v>
      </c>
      <c r="P229" s="3"/>
    </row>
    <row r="230" customFormat="false" ht="15" hidden="false" customHeight="false" outlineLevel="0" collapsed="false">
      <c r="A230" s="3"/>
      <c r="B230" s="4" t="s">
        <v>418</v>
      </c>
      <c r="C230" s="36" t="n">
        <f aca="false">-IF(C$210&gt;=1,Premissas!$C$52*(Premissas!$C$84+IF(C$210=6,Premissas!$C$85,0))*C216,0)</f>
        <v>-0</v>
      </c>
      <c r="D230" s="36" t="n">
        <f aca="false">-IF(D$210&gt;=1,Premissas!$C$52*(Premissas!$C$84+IF(D$210=6,Premissas!$C$85,0))*D216,0)</f>
        <v>-0</v>
      </c>
      <c r="E230" s="36" t="n">
        <f aca="false">-IF(E$210&gt;=1,Premissas!$C$52*(Premissas!$C$84+IF(E$210=6,Premissas!$C$85,0))*E216,0)</f>
        <v>-0</v>
      </c>
      <c r="F230" s="36" t="n">
        <f aca="false">-IF(F$210&gt;=1,Premissas!$C$52*(Premissas!$C$84+IF(F$210=6,Premissas!$C$85,0))*F216,0)</f>
        <v>-214000</v>
      </c>
      <c r="G230" s="36" t="n">
        <f aca="false">-IF(G$210&gt;=1,Premissas!$C$52*(Premissas!$C$84+IF(G$210=6,Premissas!$C$85,0))*G216,0)</f>
        <v>-220420</v>
      </c>
      <c r="H230" s="36" t="n">
        <f aca="false">-IF(H$210&gt;=1,Premissas!$C$52*(Premissas!$C$84+IF(H$210=6,Premissas!$C$85,0))*H216,0)</f>
        <v>-227032.6</v>
      </c>
      <c r="I230" s="36" t="n">
        <f aca="false">-IF(I$210&gt;=1,Premissas!$C$52*(Premissas!$C$84+IF(I$210=6,Premissas!$C$85,0))*I216,0)</f>
        <v>-233843.578</v>
      </c>
      <c r="J230" s="36" t="n">
        <f aca="false">-IF(J$210&gt;=1,Premissas!$C$52*(Premissas!$C$84+IF(J$210=6,Premissas!$C$85,0))*J216,0)</f>
        <v>-240858.88534</v>
      </c>
      <c r="K230" s="36" t="n">
        <f aca="false">-IF(K$210&gt;=1,Premissas!$C$52*(Premissas!$C$84+IF(K$210=6,Premissas!$C$85,0))*K216,0)</f>
        <v>-1240423.259501</v>
      </c>
      <c r="L230" s="36" t="n">
        <f aca="false">-IF(L$210&gt;=1,Premissas!$C$52*(Premissas!$C$84+IF(L$210=6,Premissas!$C$85,0))*L216,0)</f>
        <v>-255527.191457206</v>
      </c>
      <c r="M230" s="36" t="n">
        <f aca="false">-IF(M$210&gt;=1,Premissas!$C$52*(Premissas!$C$84+IF(M$210=6,Premissas!$C$85,0))*M216,0)</f>
        <v>-263193.007200922</v>
      </c>
      <c r="N230" s="36" t="n">
        <f aca="false">-IF(N$210&gt;=1,Premissas!$C$52*(Premissas!$C$84+IF(N$210=6,Premissas!$C$85,0))*N216,0)</f>
        <v>-271088.79741695</v>
      </c>
      <c r="O230" s="36" t="n">
        <f aca="false">-IF(O$210&gt;=1,Premissas!$C$52*(Premissas!$C$84+IF(O$210=6,Premissas!$C$85,0))*O216,0)</f>
        <v>-279221.461339458</v>
      </c>
      <c r="P230" s="3"/>
    </row>
    <row r="231" customFormat="false" ht="15" hidden="false" customHeight="false" outlineLevel="0" collapsed="false">
      <c r="A231" s="3"/>
      <c r="B231" s="4" t="s">
        <v>419</v>
      </c>
      <c r="C231" s="36" t="n">
        <f aca="false">-Premissas!$C$52*Premissas!$C$53</f>
        <v>-0</v>
      </c>
      <c r="D231" s="36" t="n">
        <f aca="false">-Premissas!$C$52*Premissas!$C$54</f>
        <v>-0</v>
      </c>
      <c r="E231" s="36" t="n">
        <f aca="false">-Premissas!$C$52*Premissas!$C$55</f>
        <v>-21400000</v>
      </c>
      <c r="F231" s="36" t="n">
        <v>0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6" t="n">
        <v>0</v>
      </c>
      <c r="O231" s="36" t="n">
        <v>0</v>
      </c>
      <c r="P231" s="3"/>
    </row>
    <row r="232" customFormat="false" ht="15" hidden="false" customHeight="false" outlineLevel="0" collapsed="false">
      <c r="A232" s="3"/>
      <c r="B232" s="4" t="s">
        <v>420</v>
      </c>
      <c r="C232" s="36" t="n">
        <f aca="false">IF(C$210=10,Premissas!$C$52*Premissas!$D$36,0)</f>
        <v>0</v>
      </c>
      <c r="D232" s="36" t="n">
        <f aca="false">IF(D$210=10,Premissas!$C$52*Premissas!$D$36,0)</f>
        <v>0</v>
      </c>
      <c r="E232" s="36" t="n">
        <f aca="false">IF(E$210=10,Premissas!$C$52*Premissas!$D$36,0)</f>
        <v>0</v>
      </c>
      <c r="F232" s="36" t="n">
        <f aca="false">IF(F$210=10,Premissas!$C$52*Premissas!$D$36,0)</f>
        <v>0</v>
      </c>
      <c r="G232" s="36" t="n">
        <f aca="false">IF(G$210=10,Premissas!$C$52*Premissas!$D$36,0)</f>
        <v>0</v>
      </c>
      <c r="H232" s="36" t="n">
        <f aca="false">IF(H$210=10,Premissas!$C$52*Premissas!$D$36,0)</f>
        <v>0</v>
      </c>
      <c r="I232" s="36" t="n">
        <f aca="false">IF(I$210=10,Premissas!$C$52*Premissas!$D$36,0)</f>
        <v>0</v>
      </c>
      <c r="J232" s="36" t="n">
        <f aca="false">IF(J$210=10,Premissas!$C$52*Premissas!$D$36,0)</f>
        <v>0</v>
      </c>
      <c r="K232" s="36" t="n">
        <f aca="false">IF(K$210=10,Premissas!$C$52*Premissas!$D$36,0)</f>
        <v>0</v>
      </c>
      <c r="L232" s="36" t="n">
        <f aca="false">IF(L$210=10,Premissas!$C$52*Premissas!$D$36,0)</f>
        <v>0</v>
      </c>
      <c r="M232" s="36" t="n">
        <f aca="false">IF(M$210=10,Premissas!$C$52*Premissas!$D$36,0)</f>
        <v>0</v>
      </c>
      <c r="N232" s="36" t="n">
        <f aca="false">IF(N$210=10,Premissas!$C$52*Premissas!$D$36,0)</f>
        <v>0</v>
      </c>
      <c r="O232" s="36" t="n">
        <f aca="false">IF(O$210=10,Premissas!$C$52*Premissas!$D$36,0)</f>
        <v>12840000</v>
      </c>
      <c r="P232" s="3"/>
    </row>
    <row r="233" customFormat="false" ht="15" hidden="false" customHeight="false" outlineLevel="0" collapsed="false">
      <c r="A233" s="3"/>
      <c r="B233" s="14" t="s">
        <v>421</v>
      </c>
      <c r="C233" s="33" t="n">
        <f aca="false">C224+C228+C229+C230+C231+C232</f>
        <v>0</v>
      </c>
      <c r="D233" s="33" t="n">
        <f aca="false">D224+D228+D229+D230+D231+D232</f>
        <v>0</v>
      </c>
      <c r="E233" s="33" t="n">
        <f aca="false">E224+E228+E229+E230+E231+E232</f>
        <v>-21400000</v>
      </c>
      <c r="F233" s="33" t="n">
        <f aca="false">F224+F228+F229+F230+F231+F232</f>
        <v>2288389.32652174</v>
      </c>
      <c r="G233" s="33" t="n">
        <f aca="false">G224+G228+G229+G230+G231+G232</f>
        <v>2539732.74691304</v>
      </c>
      <c r="H233" s="33" t="n">
        <f aca="false">H224+H228+H229+H230+H231+H232</f>
        <v>2101463.07383243</v>
      </c>
      <c r="I233" s="33" t="n">
        <f aca="false">I224+I228+I229+I230+I231+I232</f>
        <v>2618469.32417221</v>
      </c>
      <c r="J233" s="33" t="n">
        <f aca="false">J224+J228+J229+J230+J231+J232</f>
        <v>1533023.96222529</v>
      </c>
      <c r="K233" s="33" t="n">
        <f aca="false">K224+K228+K229+K230+K231+K232</f>
        <v>1706715.53032737</v>
      </c>
      <c r="L233" s="33" t="n">
        <f aca="false">L224+L228+L229+L230+L231+L232</f>
        <v>2740028.55916553</v>
      </c>
      <c r="M233" s="33" t="n">
        <f aca="false">M224+M228+M229+M230+M231+M232</f>
        <v>2166513.63025507</v>
      </c>
      <c r="N233" s="33" t="n">
        <f aca="false">N224+N228+N229+N230+N231+N232</f>
        <v>2823314.03555922</v>
      </c>
      <c r="O233" s="33" t="n">
        <f aca="false">O224+O228+O229+O230+O231+O232</f>
        <v>14270361.6890091</v>
      </c>
      <c r="P233" s="3"/>
    </row>
    <row r="234" customFormat="false" ht="15" hidden="false" customHeight="false" outlineLevel="0" collapsed="false">
      <c r="A234" s="3"/>
      <c r="B234" s="4" t="s">
        <v>422</v>
      </c>
      <c r="C234" s="36" t="n">
        <f aca="false">C233-C232</f>
        <v>0</v>
      </c>
      <c r="D234" s="36" t="n">
        <f aca="false">C234+D233-D232</f>
        <v>0</v>
      </c>
      <c r="E234" s="36" t="n">
        <f aca="false">D234+E233-E232</f>
        <v>-21400000</v>
      </c>
      <c r="F234" s="36" t="n">
        <f aca="false">E234+F233-F232</f>
        <v>-19111610.6734783</v>
      </c>
      <c r="G234" s="36" t="n">
        <f aca="false">F234+G233-G232</f>
        <v>-16571877.9265652</v>
      </c>
      <c r="H234" s="36" t="n">
        <f aca="false">G234+H233-H232</f>
        <v>-14470414.8527328</v>
      </c>
      <c r="I234" s="36" t="n">
        <f aca="false">H234+I233-I232</f>
        <v>-11851945.5285606</v>
      </c>
      <c r="J234" s="36" t="n">
        <f aca="false">I234+J233-J232</f>
        <v>-10318921.5663353</v>
      </c>
      <c r="K234" s="36" t="n">
        <f aca="false">J234+K233-K232</f>
        <v>-8612206.03600792</v>
      </c>
      <c r="L234" s="36" t="n">
        <f aca="false">K234+L233-L232</f>
        <v>-5872177.47684239</v>
      </c>
      <c r="M234" s="36" t="n">
        <f aca="false">L234+M233-M232</f>
        <v>-3705663.84658731</v>
      </c>
      <c r="N234" s="36" t="n">
        <f aca="false">M234+N233-N232</f>
        <v>-882349.811028096</v>
      </c>
      <c r="O234" s="36" t="n">
        <f aca="false">N234+O233-O232</f>
        <v>548011.877980977</v>
      </c>
      <c r="P234" s="3"/>
    </row>
    <row r="235" customFormat="false" ht="15" hidden="false" customHeight="false" outlineLevel="0" collapsed="false">
      <c r="A235" s="3"/>
      <c r="B235" s="6" t="s">
        <v>423</v>
      </c>
      <c r="C235" s="46" t="n">
        <v>0</v>
      </c>
      <c r="D235" s="46" t="n">
        <v>0</v>
      </c>
      <c r="E235" s="46" t="n">
        <v>0</v>
      </c>
      <c r="F235" s="46" t="n">
        <f aca="false">IF(AND(E234&lt;0,F234&gt;=0),F$210-1+(-E234)/(F233-F232),0)</f>
        <v>0</v>
      </c>
      <c r="G235" s="46" t="n">
        <f aca="false">IF(AND(F234&lt;0,G234&gt;=0),G$210-1+(-F234)/(G233-G232),0)</f>
        <v>0</v>
      </c>
      <c r="H235" s="46" t="n">
        <f aca="false">IF(AND(G234&lt;0,H234&gt;=0),H$210-1+(-G234)/(H233-H232),0)</f>
        <v>0</v>
      </c>
      <c r="I235" s="46" t="n">
        <f aca="false">IF(AND(H234&lt;0,I234&gt;=0),I$210-1+(-H234)/(I233-I232),0)</f>
        <v>0</v>
      </c>
      <c r="J235" s="46" t="n">
        <f aca="false">IF(AND(I234&lt;0,J234&gt;=0),J$210-1+(-I234)/(J233-J232),0)</f>
        <v>0</v>
      </c>
      <c r="K235" s="46" t="n">
        <f aca="false">IF(AND(J234&lt;0,K234&gt;=0),K$210-1+(-J234)/(K233-K232),0)</f>
        <v>0</v>
      </c>
      <c r="L235" s="46" t="n">
        <f aca="false">IF(AND(K234&lt;0,L234&gt;=0),L$210-1+(-K234)/(L233-L232),0)</f>
        <v>0</v>
      </c>
      <c r="M235" s="46" t="n">
        <f aca="false">IF(AND(L234&lt;0,M234&gt;=0),M$210-1+(-L234)/(M233-M232),0)</f>
        <v>0</v>
      </c>
      <c r="N235" s="46" t="n">
        <f aca="false">IF(AND(M234&lt;0,N234&gt;=0),N$210-1+(-M234)/(N233-N232),0)</f>
        <v>0</v>
      </c>
      <c r="O235" s="46" t="n">
        <f aca="false">IF(AND(N234&lt;0,O234&gt;=0),O$210-1+(-N234)/(O233-O232),0)</f>
        <v>9.61687181487598</v>
      </c>
      <c r="P235" s="3"/>
    </row>
    <row r="236" customFormat="false" ht="15" hidden="false" customHeight="false" outlineLevel="0" collapsed="false">
      <c r="A236" s="3"/>
      <c r="B236" s="14" t="s">
        <v>424</v>
      </c>
      <c r="C236" s="47" t="n">
        <f aca="false">IFERROR(IRR(C233:O233,0.05),IFERROR(IRR(C233:O233,-0.05),IF(SUM(C233:O233)&lt;0,"negativa","n/d")))</f>
        <v>0.0751217465762955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customFormat="false" ht="15" hidden="false" customHeight="false" outlineLevel="0" collapsed="false">
      <c r="A237" s="3"/>
      <c r="B237" s="14" t="s">
        <v>425</v>
      </c>
      <c r="C237" s="48" t="n">
        <f aca="false">C233*(1+Premissas!$B$10)^2+D233*(1+Premissas!$B$10)+E233+NPV(Premissas!$B$10,F233:O233)</f>
        <v>-2822134.15932971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customFormat="false" ht="15" hidden="false" customHeight="false" outlineLevel="0" collapsed="false">
      <c r="A238" s="3"/>
      <c r="B238" s="14" t="s">
        <v>426</v>
      </c>
      <c r="C238" s="49" t="n">
        <f aca="false">IF(SUM(F235:O235)=0,"&gt; 10",SUM(F235:O235))</f>
        <v>9.61687181487598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customFormat="false" ht="15" hidden="false" customHeight="false" outlineLevel="0" collapsed="false">
      <c r="A239" s="3"/>
      <c r="B239" s="14" t="s">
        <v>427</v>
      </c>
      <c r="C239" s="47" t="n">
        <f aca="false">SUM(C233:O233)/-SUM(C231:E231)</f>
        <v>0.625608031681354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customFormat="false" ht="15" hidden="false" customHeight="false" outlineLevel="0" collapsed="false">
      <c r="A240" s="3"/>
      <c r="B240" s="14" t="s">
        <v>428</v>
      </c>
      <c r="C240" s="47" t="n">
        <f aca="false">AVERAGE(F227:O227)*(1-Premissas!$B$11)/-SUM(C231:E231)</f>
        <v>0.0957323453418744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customFormat="false" ht="15" hidden="false" customHeight="false" outlineLevel="0" collapsed="false">
      <c r="A241" s="3"/>
      <c r="B241" s="14" t="s">
        <v>429</v>
      </c>
      <c r="C241" s="48" t="n">
        <f aca="false">H224</f>
        <v>3810394.96035217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customFormat="false" ht="15" hidden="false" customHeight="false" outlineLevel="0" collapsed="false">
      <c r="A242" s="3"/>
      <c r="B242" s="14" t="s">
        <v>430</v>
      </c>
      <c r="C242" s="48" t="n">
        <f aca="false">H221</f>
        <v>8798058.144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customFormat="false" ht="15" hidden="false" customHeight="false" outlineLevel="0" collapsed="false">
      <c r="A243" s="3"/>
      <c r="B243" s="14" t="s">
        <v>431</v>
      </c>
      <c r="C243" s="47" t="n">
        <f aca="false">H225</f>
        <v>0.433094996416993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customFormat="false" ht="15" hidden="false" customHeight="false" outlineLevel="0" collapsed="false">
      <c r="A244" s="3"/>
      <c r="B244" s="14" t="s">
        <v>432</v>
      </c>
      <c r="C244" s="48" t="n">
        <f aca="false">-(H222+H223)</f>
        <v>4987663.18364783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customFormat="false" ht="15" hidden="false" customHeight="false" outlineLevel="0" collapsed="false">
      <c r="A245" s="3"/>
      <c r="B245" s="14" t="s">
        <v>433</v>
      </c>
      <c r="C245" s="50" t="n">
        <f aca="false">IFERROR(-H223/((H221+H222)/H211),"n/d")</f>
        <v>14.3219941732537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customFormat="false" ht="15" hidden="false" customHeight="false" outlineLevel="0" collapsed="false">
      <c r="A246" s="3"/>
      <c r="B246" s="14" t="s">
        <v>434</v>
      </c>
      <c r="C246" s="48" t="n">
        <f aca="false">-SUM(C231:E231)</f>
        <v>21400000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customFormat="false" ht="15" hidden="false" customHeight="false" outlineLevel="0" collapsed="false">
      <c r="A247" s="3"/>
      <c r="B247" s="14" t="s">
        <v>435</v>
      </c>
      <c r="C247" s="48" t="n">
        <f aca="false">O232</f>
        <v>12840000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customFormat="false" ht="15" hidden="false" customHeight="false" outlineLevel="0" collapsed="false">
      <c r="A250" s="3"/>
      <c r="B250" s="19" t="s">
        <v>441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customFormat="false" ht="15" hidden="false" customHeight="false" outlineLevel="0" collapsed="false">
      <c r="A251" s="3"/>
      <c r="B251" s="14" t="s">
        <v>398</v>
      </c>
      <c r="C251" s="44" t="n">
        <v>-2</v>
      </c>
      <c r="D251" s="44" t="n">
        <v>-1</v>
      </c>
      <c r="E251" s="44" t="n">
        <v>0</v>
      </c>
      <c r="F251" s="44" t="n">
        <v>1</v>
      </c>
      <c r="G251" s="44" t="n">
        <v>2</v>
      </c>
      <c r="H251" s="44" t="n">
        <v>3</v>
      </c>
      <c r="I251" s="44" t="n">
        <v>4</v>
      </c>
      <c r="J251" s="44" t="n">
        <v>5</v>
      </c>
      <c r="K251" s="44" t="n">
        <v>6</v>
      </c>
      <c r="L251" s="44" t="n">
        <v>7</v>
      </c>
      <c r="M251" s="44" t="n">
        <v>8</v>
      </c>
      <c r="N251" s="44" t="n">
        <v>9</v>
      </c>
      <c r="O251" s="44" t="n">
        <v>10</v>
      </c>
      <c r="P251" s="3"/>
    </row>
    <row r="252" customFormat="false" ht="15" hidden="false" customHeight="false" outlineLevel="0" collapsed="false">
      <c r="A252" s="3"/>
      <c r="B252" s="4" t="s">
        <v>399</v>
      </c>
      <c r="C252" s="39" t="n">
        <f aca="false">IF(C$251&gt;=1,Premissas!$B$29*IF(C$251=1,Premissas!$B$37,1),0)</f>
        <v>0</v>
      </c>
      <c r="D252" s="39" t="n">
        <f aca="false">IF(D$251&gt;=1,Premissas!$B$29*IF(D$251=1,Premissas!$B$37,1),0)</f>
        <v>0</v>
      </c>
      <c r="E252" s="39" t="n">
        <f aca="false">IF(E$251&gt;=1,Premissas!$B$29*IF(E$251=1,Premissas!$B$37,1),0)</f>
        <v>0</v>
      </c>
      <c r="F252" s="39" t="n">
        <f aca="false">IF(F$251&gt;=1,Premissas!$B$29*IF(F$251=1,Premissas!$B$37,1),0)</f>
        <v>15</v>
      </c>
      <c r="G252" s="39" t="n">
        <f aca="false">IF(G$251&gt;=1,Premissas!$B$29*IF(G$251=1,Premissas!$B$37,1),0)</f>
        <v>20</v>
      </c>
      <c r="H252" s="39" t="n">
        <f aca="false">IF(H$251&gt;=1,Premissas!$B$29*IF(H$251=1,Premissas!$B$37,1),0)</f>
        <v>20</v>
      </c>
      <c r="I252" s="39" t="n">
        <f aca="false">IF(I$251&gt;=1,Premissas!$B$29*IF(I$251=1,Premissas!$B$37,1),0)</f>
        <v>20</v>
      </c>
      <c r="J252" s="39" t="n">
        <f aca="false">IF(J$251&gt;=1,Premissas!$B$29*IF(J$251=1,Premissas!$B$37,1),0)</f>
        <v>20</v>
      </c>
      <c r="K252" s="39" t="n">
        <f aca="false">IF(K$251&gt;=1,Premissas!$B$29*IF(K$251=1,Premissas!$B$37,1),0)</f>
        <v>20</v>
      </c>
      <c r="L252" s="39" t="n">
        <f aca="false">IF(L$251&gt;=1,Premissas!$B$29*IF(L$251=1,Premissas!$B$37,1),0)</f>
        <v>20</v>
      </c>
      <c r="M252" s="39" t="n">
        <f aca="false">IF(M$251&gt;=1,Premissas!$B$29*IF(M$251=1,Premissas!$B$37,1),0)</f>
        <v>20</v>
      </c>
      <c r="N252" s="39" t="n">
        <f aca="false">IF(N$251&gt;=1,Premissas!$B$29*IF(N$251=1,Premissas!$B$37,1),0)</f>
        <v>20</v>
      </c>
      <c r="O252" s="39" t="n">
        <f aca="false">IF(O$251&gt;=1,Premissas!$B$29*IF(O$251=1,Premissas!$B$37,1),0)</f>
        <v>20</v>
      </c>
      <c r="P252" s="3"/>
    </row>
    <row r="253" customFormat="false" ht="15" hidden="false" customHeight="false" outlineLevel="0" collapsed="false">
      <c r="A253" s="3"/>
      <c r="B253" s="4" t="s">
        <v>400</v>
      </c>
      <c r="C253" s="39" t="n">
        <f aca="false">MIN(C252,Premissas!$B$30)</f>
        <v>0</v>
      </c>
      <c r="D253" s="39" t="n">
        <f aca="false">MIN(D252,Premissas!$B$30)</f>
        <v>0</v>
      </c>
      <c r="E253" s="39" t="n">
        <f aca="false">MIN(E252,Premissas!$B$30)</f>
        <v>0</v>
      </c>
      <c r="F253" s="39" t="n">
        <f aca="false">MIN(F252,Premissas!$B$30)</f>
        <v>6</v>
      </c>
      <c r="G253" s="39" t="n">
        <f aca="false">MIN(G252,Premissas!$B$30)</f>
        <v>6</v>
      </c>
      <c r="H253" s="39" t="n">
        <f aca="false">MIN(H252,Premissas!$B$30)</f>
        <v>6</v>
      </c>
      <c r="I253" s="39" t="n">
        <f aca="false">MIN(I252,Premissas!$B$30)</f>
        <v>6</v>
      </c>
      <c r="J253" s="39" t="n">
        <f aca="false">MIN(J252,Premissas!$B$30)</f>
        <v>6</v>
      </c>
      <c r="K253" s="39" t="n">
        <f aca="false">MIN(K252,Premissas!$B$30)</f>
        <v>6</v>
      </c>
      <c r="L253" s="39" t="n">
        <f aca="false">MIN(L252,Premissas!$B$30)</f>
        <v>6</v>
      </c>
      <c r="M253" s="39" t="n">
        <f aca="false">MIN(M252,Premissas!$B$30)</f>
        <v>6</v>
      </c>
      <c r="N253" s="39" t="n">
        <f aca="false">MIN(N252,Premissas!$B$30)</f>
        <v>6</v>
      </c>
      <c r="O253" s="39" t="n">
        <f aca="false">MIN(O252,Premissas!$B$30)</f>
        <v>6</v>
      </c>
      <c r="P253" s="3"/>
    </row>
    <row r="254" customFormat="false" ht="15" hidden="false" customHeight="false" outlineLevel="0" collapsed="false">
      <c r="A254" s="3"/>
      <c r="B254" s="4" t="s">
        <v>401</v>
      </c>
      <c r="C254" s="39" t="n">
        <f aca="false">MIN(C252-C253,Premissas!$B$31)</f>
        <v>0</v>
      </c>
      <c r="D254" s="39" t="n">
        <f aca="false">MIN(D252-D253,Premissas!$B$31)</f>
        <v>0</v>
      </c>
      <c r="E254" s="39" t="n">
        <f aca="false">MIN(E252-E253,Premissas!$B$31)</f>
        <v>0</v>
      </c>
      <c r="F254" s="39" t="n">
        <f aca="false">MIN(F252-F253,Premissas!$B$31)</f>
        <v>4</v>
      </c>
      <c r="G254" s="39" t="n">
        <f aca="false">MIN(G252-G253,Premissas!$B$31)</f>
        <v>4</v>
      </c>
      <c r="H254" s="39" t="n">
        <f aca="false">MIN(H252-H253,Premissas!$B$31)</f>
        <v>4</v>
      </c>
      <c r="I254" s="39" t="n">
        <f aca="false">MIN(I252-I253,Premissas!$B$31)</f>
        <v>4</v>
      </c>
      <c r="J254" s="39" t="n">
        <f aca="false">MIN(J252-J253,Premissas!$B$31)</f>
        <v>4</v>
      </c>
      <c r="K254" s="39" t="n">
        <f aca="false">MIN(K252-K253,Premissas!$B$31)</f>
        <v>4</v>
      </c>
      <c r="L254" s="39" t="n">
        <f aca="false">MIN(L252-L253,Premissas!$B$31)</f>
        <v>4</v>
      </c>
      <c r="M254" s="39" t="n">
        <f aca="false">MIN(M252-M253,Premissas!$B$31)</f>
        <v>4</v>
      </c>
      <c r="N254" s="39" t="n">
        <f aca="false">MIN(N252-N253,Premissas!$B$31)</f>
        <v>4</v>
      </c>
      <c r="O254" s="39" t="n">
        <f aca="false">MIN(O252-O253,Premissas!$B$31)</f>
        <v>4</v>
      </c>
      <c r="P254" s="3"/>
    </row>
    <row r="255" customFormat="false" ht="15" hidden="false" customHeight="false" outlineLevel="0" collapsed="false">
      <c r="A255" s="3"/>
      <c r="B255" s="4" t="s">
        <v>402</v>
      </c>
      <c r="C255" s="39" t="n">
        <f aca="false">C252-C253-C254</f>
        <v>0</v>
      </c>
      <c r="D255" s="39" t="n">
        <f aca="false">D252-D253-D254</f>
        <v>0</v>
      </c>
      <c r="E255" s="39" t="n">
        <f aca="false">E252-E253-E254</f>
        <v>0</v>
      </c>
      <c r="F255" s="39" t="n">
        <f aca="false">F252-F253-F254</f>
        <v>5</v>
      </c>
      <c r="G255" s="39" t="n">
        <f aca="false">G252-G253-G254</f>
        <v>10</v>
      </c>
      <c r="H255" s="39" t="n">
        <f aca="false">H252-H253-H254</f>
        <v>10</v>
      </c>
      <c r="I255" s="39" t="n">
        <f aca="false">I252-I253-I254</f>
        <v>10</v>
      </c>
      <c r="J255" s="39" t="n">
        <f aca="false">J252-J253-J254</f>
        <v>10</v>
      </c>
      <c r="K255" s="39" t="n">
        <f aca="false">K252-K253-K254</f>
        <v>10</v>
      </c>
      <c r="L255" s="39" t="n">
        <f aca="false">L252-L253-L254</f>
        <v>10</v>
      </c>
      <c r="M255" s="39" t="n">
        <f aca="false">M252-M253-M254</f>
        <v>10</v>
      </c>
      <c r="N255" s="39" t="n">
        <f aca="false">N252-N253-N254</f>
        <v>10</v>
      </c>
      <c r="O255" s="39" t="n">
        <f aca="false">O252-O253-O254</f>
        <v>10</v>
      </c>
      <c r="P255" s="3"/>
    </row>
    <row r="256" customFormat="false" ht="15" hidden="false" customHeight="false" outlineLevel="0" collapsed="false">
      <c r="A256" s="3"/>
      <c r="B256" s="4" t="s">
        <v>403</v>
      </c>
      <c r="C256" s="45" t="n">
        <f aca="false">IF(C$251&gt;=1,(1+Premissas!$B$8)^(C$251-1),0)</f>
        <v>0</v>
      </c>
      <c r="D256" s="45" t="n">
        <f aca="false">IF(D$251&gt;=1,(1+Premissas!$B$8)^(D$251-1),0)</f>
        <v>0</v>
      </c>
      <c r="E256" s="45" t="n">
        <f aca="false">IF(E$251&gt;=1,(1+Premissas!$B$8)^(E$251-1),0)</f>
        <v>0</v>
      </c>
      <c r="F256" s="45" t="n">
        <f aca="false">IF(F$251&gt;=1,(1+Premissas!$B$8)^(F$251-1),0)</f>
        <v>1</v>
      </c>
      <c r="G256" s="45" t="n">
        <f aca="false">IF(G$251&gt;=1,(1+Premissas!$B$8)^(G$251-1),0)</f>
        <v>1.025</v>
      </c>
      <c r="H256" s="45" t="n">
        <f aca="false">IF(H$251&gt;=1,(1+Premissas!$B$8)^(H$251-1),0)</f>
        <v>1.050625</v>
      </c>
      <c r="I256" s="45" t="n">
        <f aca="false">IF(I$251&gt;=1,(1+Premissas!$B$8)^(I$251-1),0)</f>
        <v>1.076890625</v>
      </c>
      <c r="J256" s="45" t="n">
        <f aca="false">IF(J$251&gt;=1,(1+Premissas!$B$8)^(J$251-1),0)</f>
        <v>1.103812890625</v>
      </c>
      <c r="K256" s="45" t="n">
        <f aca="false">IF(K$251&gt;=1,(1+Premissas!$B$8)^(K$251-1),0)</f>
        <v>1.13140821289062</v>
      </c>
      <c r="L256" s="45" t="n">
        <f aca="false">IF(L$251&gt;=1,(1+Premissas!$B$8)^(L$251-1),0)</f>
        <v>1.15969341821289</v>
      </c>
      <c r="M256" s="45" t="n">
        <f aca="false">IF(M$251&gt;=1,(1+Premissas!$B$8)^(M$251-1),0)</f>
        <v>1.18868575366821</v>
      </c>
      <c r="N256" s="45" t="n">
        <f aca="false">IF(N$251&gt;=1,(1+Premissas!$B$8)^(N$251-1),0)</f>
        <v>1.21840289750992</v>
      </c>
      <c r="O256" s="45" t="n">
        <f aca="false">IF(O$251&gt;=1,(1+Premissas!$B$8)^(O$251-1),0)</f>
        <v>1.24886296994767</v>
      </c>
      <c r="P256" s="3"/>
    </row>
    <row r="257" customFormat="false" ht="15" hidden="false" customHeight="false" outlineLevel="0" collapsed="false">
      <c r="A257" s="3"/>
      <c r="B257" s="4" t="s">
        <v>404</v>
      </c>
      <c r="C257" s="45" t="n">
        <f aca="false">IF(C$251&gt;=1,(1+Premissas!$B$9)^(C$251-1),0)</f>
        <v>0</v>
      </c>
      <c r="D257" s="45" t="n">
        <f aca="false">IF(D$251&gt;=1,(1+Premissas!$B$9)^(D$251-1),0)</f>
        <v>0</v>
      </c>
      <c r="E257" s="45" t="n">
        <f aca="false">IF(E$251&gt;=1,(1+Premissas!$B$9)^(E$251-1),0)</f>
        <v>0</v>
      </c>
      <c r="F257" s="45" t="n">
        <f aca="false">IF(F$251&gt;=1,(1+Premissas!$B$9)^(F$251-1),0)</f>
        <v>1</v>
      </c>
      <c r="G257" s="45" t="n">
        <f aca="false">IF(G$251&gt;=1,(1+Premissas!$B$9)^(G$251-1),0)</f>
        <v>1.03</v>
      </c>
      <c r="H257" s="45" t="n">
        <f aca="false">IF(H$251&gt;=1,(1+Premissas!$B$9)^(H$251-1),0)</f>
        <v>1.0609</v>
      </c>
      <c r="I257" s="45" t="n">
        <f aca="false">IF(I$251&gt;=1,(1+Premissas!$B$9)^(I$251-1),0)</f>
        <v>1.092727</v>
      </c>
      <c r="J257" s="45" t="n">
        <f aca="false">IF(J$251&gt;=1,(1+Premissas!$B$9)^(J$251-1),0)</f>
        <v>1.12550881</v>
      </c>
      <c r="K257" s="45" t="n">
        <f aca="false">IF(K$251&gt;=1,(1+Premissas!$B$9)^(K$251-1),0)</f>
        <v>1.1592740743</v>
      </c>
      <c r="L257" s="45" t="n">
        <f aca="false">IF(L$251&gt;=1,(1+Premissas!$B$9)^(L$251-1),0)</f>
        <v>1.194052296529</v>
      </c>
      <c r="M257" s="45" t="n">
        <f aca="false">IF(M$251&gt;=1,(1+Premissas!$B$9)^(M$251-1),0)</f>
        <v>1.22987386542487</v>
      </c>
      <c r="N257" s="45" t="n">
        <f aca="false">IF(N$251&gt;=1,(1+Premissas!$B$9)^(N$251-1),0)</f>
        <v>1.26677008138762</v>
      </c>
      <c r="O257" s="45" t="n">
        <f aca="false">IF(O$251&gt;=1,(1+Premissas!$B$9)^(O$251-1),0)</f>
        <v>1.30477318382925</v>
      </c>
      <c r="P257" s="3"/>
    </row>
    <row r="258" customFormat="false" ht="15" hidden="false" customHeight="false" outlineLevel="0" collapsed="false">
      <c r="A258" s="3"/>
      <c r="B258" s="4" t="s">
        <v>405</v>
      </c>
      <c r="C258" s="36" t="n">
        <f aca="false">C253*Premissas!$D$77*Premissas!$B$32*C256</f>
        <v>0</v>
      </c>
      <c r="D258" s="36" t="n">
        <f aca="false">D253*Premissas!$D$77*Premissas!$B$32*D256</f>
        <v>0</v>
      </c>
      <c r="E258" s="36" t="n">
        <f aca="false">E253*Premissas!$D$77*Premissas!$B$32*E256</f>
        <v>0</v>
      </c>
      <c r="F258" s="36" t="n">
        <f aca="false">F253*Premissas!$D$77*Premissas!$B$32*F256</f>
        <v>918000</v>
      </c>
      <c r="G258" s="36" t="n">
        <f aca="false">G253*Premissas!$D$77*Premissas!$B$32*G256</f>
        <v>940950</v>
      </c>
      <c r="H258" s="36" t="n">
        <f aca="false">H253*Premissas!$D$77*Premissas!$B$32*H256</f>
        <v>964473.75</v>
      </c>
      <c r="I258" s="36" t="n">
        <f aca="false">I253*Premissas!$D$77*Premissas!$B$32*I256</f>
        <v>988585.59375</v>
      </c>
      <c r="J258" s="36" t="n">
        <f aca="false">J253*Premissas!$D$77*Premissas!$B$32*J256</f>
        <v>1013300.23359375</v>
      </c>
      <c r="K258" s="36" t="n">
        <f aca="false">K253*Premissas!$D$77*Premissas!$B$32*K256</f>
        <v>1038632.73943359</v>
      </c>
      <c r="L258" s="36" t="n">
        <f aca="false">L253*Premissas!$D$77*Premissas!$B$32*L256</f>
        <v>1064598.55791943</v>
      </c>
      <c r="M258" s="36" t="n">
        <f aca="false">M253*Premissas!$D$77*Premissas!$B$32*M256</f>
        <v>1091213.52186742</v>
      </c>
      <c r="N258" s="36" t="n">
        <f aca="false">N253*Premissas!$D$77*Premissas!$B$32*N256</f>
        <v>1118493.8599141</v>
      </c>
      <c r="O258" s="36" t="n">
        <f aca="false">O253*Premissas!$D$77*Premissas!$B$32*O256</f>
        <v>1146456.20641196</v>
      </c>
      <c r="P258" s="3"/>
    </row>
    <row r="259" customFormat="false" ht="15" hidden="false" customHeight="false" outlineLevel="0" collapsed="false">
      <c r="A259" s="3"/>
      <c r="B259" s="4" t="s">
        <v>406</v>
      </c>
      <c r="C259" s="36" t="n">
        <f aca="false">C255*Premissas!$D$77*Premissas!$B$32*(1-Premissas!$B$12)*C256</f>
        <v>0</v>
      </c>
      <c r="D259" s="36" t="n">
        <f aca="false">D255*Premissas!$D$77*Premissas!$B$32*(1-Premissas!$B$12)*D256</f>
        <v>0</v>
      </c>
      <c r="E259" s="36" t="n">
        <f aca="false">E255*Premissas!$D$77*Premissas!$B$32*(1-Premissas!$B$12)*E256</f>
        <v>0</v>
      </c>
      <c r="F259" s="36" t="n">
        <f aca="false">F255*Premissas!$D$77*Premissas!$B$32*(1-Premissas!$B$12)*F256</f>
        <v>650250</v>
      </c>
      <c r="G259" s="36" t="n">
        <f aca="false">G255*Premissas!$D$77*Premissas!$B$32*(1-Premissas!$B$12)*G256</f>
        <v>1333012.5</v>
      </c>
      <c r="H259" s="36" t="n">
        <f aca="false">H255*Premissas!$D$77*Premissas!$B$32*(1-Premissas!$B$12)*H256</f>
        <v>1366337.8125</v>
      </c>
      <c r="I259" s="36" t="n">
        <f aca="false">I255*Premissas!$D$77*Premissas!$B$32*(1-Premissas!$B$12)*I256</f>
        <v>1400496.2578125</v>
      </c>
      <c r="J259" s="36" t="n">
        <f aca="false">J255*Premissas!$D$77*Premissas!$B$32*(1-Premissas!$B$12)*J256</f>
        <v>1435508.66425781</v>
      </c>
      <c r="K259" s="36" t="n">
        <f aca="false">K255*Premissas!$D$77*Premissas!$B$32*(1-Premissas!$B$12)*K256</f>
        <v>1471396.38086426</v>
      </c>
      <c r="L259" s="36" t="n">
        <f aca="false">L255*Premissas!$D$77*Premissas!$B$32*(1-Premissas!$B$12)*L256</f>
        <v>1508181.29038586</v>
      </c>
      <c r="M259" s="36" t="n">
        <f aca="false">M255*Premissas!$D$77*Premissas!$B$32*(1-Premissas!$B$12)*M256</f>
        <v>1545885.82264551</v>
      </c>
      <c r="N259" s="36" t="n">
        <f aca="false">N255*Premissas!$D$77*Premissas!$B$32*(1-Premissas!$B$12)*N256</f>
        <v>1584532.96821165</v>
      </c>
      <c r="O259" s="36" t="n">
        <f aca="false">O255*Premissas!$D$77*Premissas!$B$32*(1-Premissas!$B$12)*O256</f>
        <v>1624146.29241694</v>
      </c>
      <c r="P259" s="3"/>
    </row>
    <row r="260" customFormat="false" ht="15" hidden="false" customHeight="false" outlineLevel="0" collapsed="false">
      <c r="A260" s="3"/>
      <c r="B260" s="4" t="s">
        <v>407</v>
      </c>
      <c r="C260" s="36" t="n">
        <f aca="false">C254*Premissas!$D$44*Premissas!$B$38*Premissas!$D$78*Premissas!$B$32*(1-Premissas!$B$12)*C256</f>
        <v>0</v>
      </c>
      <c r="D260" s="36" t="n">
        <f aca="false">D254*Premissas!$D$44*Premissas!$B$38*Premissas!$D$78*Premissas!$B$32*(1-Premissas!$B$12)*D256</f>
        <v>0</v>
      </c>
      <c r="E260" s="36" t="n">
        <f aca="false">E254*Premissas!$D$44*Premissas!$B$38*Premissas!$D$78*Premissas!$B$32*(1-Premissas!$B$12)*E256</f>
        <v>0</v>
      </c>
      <c r="F260" s="36" t="n">
        <f aca="false">F254*Premissas!$D$44*Premissas!$B$38*Premissas!$D$78*Premissas!$B$32*(1-Premissas!$B$12)*F256</f>
        <v>429624</v>
      </c>
      <c r="G260" s="36" t="n">
        <f aca="false">G254*Premissas!$D$44*Premissas!$B$38*Premissas!$D$78*Premissas!$B$32*(1-Premissas!$B$12)*G256</f>
        <v>440364.6</v>
      </c>
      <c r="H260" s="36" t="n">
        <f aca="false">H254*Premissas!$D$44*Premissas!$B$38*Premissas!$D$78*Premissas!$B$32*(1-Premissas!$B$12)*H256</f>
        <v>451373.715</v>
      </c>
      <c r="I260" s="36" t="n">
        <f aca="false">I254*Premissas!$D$44*Premissas!$B$38*Premissas!$D$78*Premissas!$B$32*(1-Premissas!$B$12)*I256</f>
        <v>462658.057875</v>
      </c>
      <c r="J260" s="36" t="n">
        <f aca="false">J254*Premissas!$D$44*Premissas!$B$38*Premissas!$D$78*Premissas!$B$32*(1-Premissas!$B$12)*J256</f>
        <v>474224.509321875</v>
      </c>
      <c r="K260" s="36" t="n">
        <f aca="false">K254*Premissas!$D$44*Premissas!$B$38*Premissas!$D$78*Premissas!$B$32*(1-Premissas!$B$12)*K256</f>
        <v>486080.122054922</v>
      </c>
      <c r="L260" s="36" t="n">
        <f aca="false">L254*Premissas!$D$44*Premissas!$B$38*Premissas!$D$78*Premissas!$B$32*(1-Premissas!$B$12)*L256</f>
        <v>498232.125106295</v>
      </c>
      <c r="M260" s="36" t="n">
        <f aca="false">M254*Premissas!$D$44*Premissas!$B$38*Premissas!$D$78*Premissas!$B$32*(1-Premissas!$B$12)*M256</f>
        <v>510687.928233952</v>
      </c>
      <c r="N260" s="36" t="n">
        <f aca="false">N254*Premissas!$D$44*Premissas!$B$38*Premissas!$D$78*Premissas!$B$32*(1-Premissas!$B$12)*N256</f>
        <v>523455.126439801</v>
      </c>
      <c r="O260" s="36" t="n">
        <f aca="false">O254*Premissas!$D$44*Premissas!$B$38*Premissas!$D$78*Premissas!$B$32*(1-Premissas!$B$12)*O256</f>
        <v>536541.504600796</v>
      </c>
      <c r="P260" s="3"/>
    </row>
    <row r="261" customFormat="false" ht="15" hidden="false" customHeight="false" outlineLevel="0" collapsed="false">
      <c r="A261" s="3"/>
      <c r="B261" s="4" t="s">
        <v>408</v>
      </c>
      <c r="C261" s="36" t="n">
        <f aca="false">C252*Premissas!$D$44*Premissas!$B$14*Premissas!$B$13*C256</f>
        <v>0</v>
      </c>
      <c r="D261" s="36" t="n">
        <f aca="false">D252*Premissas!$D$44*Premissas!$B$14*Premissas!$B$13*D256</f>
        <v>0</v>
      </c>
      <c r="E261" s="36" t="n">
        <f aca="false">E252*Premissas!$D$44*Premissas!$B$14*Premissas!$B$13*E256</f>
        <v>0</v>
      </c>
      <c r="F261" s="36" t="n">
        <f aca="false">F252*Premissas!$D$44*Premissas!$B$14*Premissas!$B$13*F256</f>
        <v>97200</v>
      </c>
      <c r="G261" s="36" t="n">
        <f aca="false">G252*Premissas!$D$44*Premissas!$B$14*Premissas!$B$13*G256</f>
        <v>132840</v>
      </c>
      <c r="H261" s="36" t="n">
        <f aca="false">H252*Premissas!$D$44*Premissas!$B$14*Premissas!$B$13*H256</f>
        <v>136161</v>
      </c>
      <c r="I261" s="36" t="n">
        <f aca="false">I252*Premissas!$D$44*Premissas!$B$14*Premissas!$B$13*I256</f>
        <v>139565.025</v>
      </c>
      <c r="J261" s="36" t="n">
        <f aca="false">J252*Premissas!$D$44*Premissas!$B$14*Premissas!$B$13*J256</f>
        <v>143054.150625</v>
      </c>
      <c r="K261" s="36" t="n">
        <f aca="false">K252*Premissas!$D$44*Premissas!$B$14*Premissas!$B$13*K256</f>
        <v>146630.504390625</v>
      </c>
      <c r="L261" s="36" t="n">
        <f aca="false">L252*Premissas!$D$44*Premissas!$B$14*Premissas!$B$13*L256</f>
        <v>150296.267000391</v>
      </c>
      <c r="M261" s="36" t="n">
        <f aca="false">M252*Premissas!$D$44*Premissas!$B$14*Premissas!$B$13*M256</f>
        <v>154053.6736754</v>
      </c>
      <c r="N261" s="36" t="n">
        <f aca="false">N252*Premissas!$D$44*Premissas!$B$14*Premissas!$B$13*N256</f>
        <v>157905.015517285</v>
      </c>
      <c r="O261" s="36" t="n">
        <f aca="false">O252*Premissas!$D$44*Premissas!$B$14*Premissas!$B$13*O256</f>
        <v>161852.640905217</v>
      </c>
      <c r="P261" s="3"/>
    </row>
    <row r="262" customFormat="false" ht="15" hidden="false" customHeight="false" outlineLevel="0" collapsed="false">
      <c r="A262" s="3"/>
      <c r="B262" s="14" t="s">
        <v>409</v>
      </c>
      <c r="C262" s="33" t="n">
        <f aca="false">SUM(C258:C261)</f>
        <v>0</v>
      </c>
      <c r="D262" s="33" t="n">
        <f aca="false">SUM(D258:D261)</f>
        <v>0</v>
      </c>
      <c r="E262" s="33" t="n">
        <f aca="false">SUM(E258:E261)</f>
        <v>0</v>
      </c>
      <c r="F262" s="33" t="n">
        <f aca="false">SUM(F258:F261)</f>
        <v>2095074</v>
      </c>
      <c r="G262" s="33" t="n">
        <f aca="false">SUM(G258:G261)</f>
        <v>2847167.1</v>
      </c>
      <c r="H262" s="33" t="n">
        <f aca="false">SUM(H258:H261)</f>
        <v>2918346.2775</v>
      </c>
      <c r="I262" s="33" t="n">
        <f aca="false">SUM(I258:I261)</f>
        <v>2991304.9344375</v>
      </c>
      <c r="J262" s="33" t="n">
        <f aca="false">SUM(J258:J261)</f>
        <v>3066087.55779844</v>
      </c>
      <c r="K262" s="33" t="n">
        <f aca="false">SUM(K258:K261)</f>
        <v>3142739.7467434</v>
      </c>
      <c r="L262" s="33" t="n">
        <f aca="false">SUM(L258:L261)</f>
        <v>3221308.24041198</v>
      </c>
      <c r="M262" s="33" t="n">
        <f aca="false">SUM(M258:M261)</f>
        <v>3301840.94642228</v>
      </c>
      <c r="N262" s="33" t="n">
        <f aca="false">SUM(N258:N261)</f>
        <v>3384386.97008284</v>
      </c>
      <c r="O262" s="33" t="n">
        <f aca="false">SUM(O258:O261)</f>
        <v>3468996.64433491</v>
      </c>
      <c r="P262" s="3"/>
    </row>
    <row r="263" customFormat="false" ht="15" hidden="false" customHeight="false" outlineLevel="0" collapsed="false">
      <c r="A263" s="3"/>
      <c r="B263" s="4" t="s">
        <v>410</v>
      </c>
      <c r="C263" s="36" t="n">
        <f aca="false">-C252*(Premissas!$D$70*Premissas!$B$34/Premissas!$B$6+Premissas!$D$75)*Premissas!$B$33*C257</f>
        <v>-0</v>
      </c>
      <c r="D263" s="36" t="n">
        <f aca="false">-D252*(Premissas!$D$70*Premissas!$B$34/Premissas!$B$6+Premissas!$D$75)*Premissas!$B$33*D257</f>
        <v>-0</v>
      </c>
      <c r="E263" s="36" t="n">
        <f aca="false">-E252*(Premissas!$D$70*Premissas!$B$34/Premissas!$B$6+Premissas!$D$75)*Premissas!$B$33*E257</f>
        <v>-0</v>
      </c>
      <c r="F263" s="36" t="n">
        <f aca="false">-F252*(Premissas!$D$70*Premissas!$B$34/Premissas!$B$6+Premissas!$D$75)*Premissas!$B$33*F257</f>
        <v>-735719.217391305</v>
      </c>
      <c r="G263" s="36" t="n">
        <f aca="false">-G252*(Premissas!$D$70*Premissas!$B$34/Premissas!$B$6+Premissas!$D$75)*Premissas!$B$33*G257</f>
        <v>-1010387.72521739</v>
      </c>
      <c r="H263" s="36" t="n">
        <f aca="false">-H252*(Premissas!$D$70*Premissas!$B$34/Premissas!$B$6+Premissas!$D$75)*Premissas!$B$33*H257</f>
        <v>-1040699.35697391</v>
      </c>
      <c r="I263" s="36" t="n">
        <f aca="false">-I252*(Premissas!$D$70*Premissas!$B$34/Premissas!$B$6+Premissas!$D$75)*Premissas!$B$33*I257</f>
        <v>-1071920.33768313</v>
      </c>
      <c r="J263" s="36" t="n">
        <f aca="false">-J252*(Premissas!$D$70*Premissas!$B$34/Premissas!$B$6+Premissas!$D$75)*Premissas!$B$33*J257</f>
        <v>-1104077.94781362</v>
      </c>
      <c r="K263" s="36" t="n">
        <f aca="false">-K252*(Premissas!$D$70*Premissas!$B$34/Premissas!$B$6+Premissas!$D$75)*Premissas!$B$33*K257</f>
        <v>-1137200.28624803</v>
      </c>
      <c r="L263" s="36" t="n">
        <f aca="false">-L252*(Premissas!$D$70*Premissas!$B$34/Premissas!$B$6+Premissas!$D$75)*Premissas!$B$33*L257</f>
        <v>-1171316.29483547</v>
      </c>
      <c r="M263" s="36" t="n">
        <f aca="false">-M252*(Premissas!$D$70*Premissas!$B$34/Premissas!$B$6+Premissas!$D$75)*Premissas!$B$33*M257</f>
        <v>-1206455.78368054</v>
      </c>
      <c r="N263" s="36" t="n">
        <f aca="false">-N252*(Premissas!$D$70*Premissas!$B$34/Premissas!$B$6+Premissas!$D$75)*Premissas!$B$33*N257</f>
        <v>-1242649.45719096</v>
      </c>
      <c r="O263" s="36" t="n">
        <f aca="false">-O252*(Premissas!$D$70*Premissas!$B$34/Premissas!$B$6+Premissas!$D$75)*Premissas!$B$33*O257</f>
        <v>-1279928.94090668</v>
      </c>
      <c r="P263" s="3"/>
    </row>
    <row r="264" customFormat="false" ht="15" hidden="false" customHeight="false" outlineLevel="0" collapsed="false">
      <c r="A264" s="3"/>
      <c r="B264" s="4" t="s">
        <v>411</v>
      </c>
      <c r="C264" s="36" t="n">
        <f aca="false">-IF(C$251&gt;=1,Premissas!$D$68*Premissas!$B$33*C257,0)</f>
        <v>-0</v>
      </c>
      <c r="D264" s="36" t="n">
        <f aca="false">-IF(D$251&gt;=1,Premissas!$D$68*Premissas!$B$33*D257,0)</f>
        <v>-0</v>
      </c>
      <c r="E264" s="36" t="n">
        <f aca="false">-IF(E$251&gt;=1,Premissas!$D$68*Premissas!$B$33*E257,0)</f>
        <v>-0</v>
      </c>
      <c r="F264" s="36" t="n">
        <f aca="false">-IF(F$251&gt;=1,Premissas!$D$68*Premissas!$B$33*F257,0)</f>
        <v>-2781884.6</v>
      </c>
      <c r="G264" s="36" t="n">
        <f aca="false">-IF(G$251&gt;=1,Premissas!$D$68*Premissas!$B$33*G257,0)</f>
        <v>-2865341.138</v>
      </c>
      <c r="H264" s="36" t="n">
        <f aca="false">-IF(H$251&gt;=1,Premissas!$D$68*Premissas!$B$33*H257,0)</f>
        <v>-2951301.37214</v>
      </c>
      <c r="I264" s="36" t="n">
        <f aca="false">-IF(I$251&gt;=1,Premissas!$D$68*Premissas!$B$33*I257,0)</f>
        <v>-3039840.4133042</v>
      </c>
      <c r="J264" s="36" t="n">
        <f aca="false">-IF(J$251&gt;=1,Premissas!$D$68*Premissas!$B$33*J257,0)</f>
        <v>-3131035.62570333</v>
      </c>
      <c r="K264" s="36" t="n">
        <f aca="false">-IF(K$251&gt;=1,Premissas!$D$68*Premissas!$B$33*K257,0)</f>
        <v>-3224966.69447443</v>
      </c>
      <c r="L264" s="36" t="n">
        <f aca="false">-IF(L$251&gt;=1,Premissas!$D$68*Premissas!$B$33*L257,0)</f>
        <v>-3321715.69530866</v>
      </c>
      <c r="M264" s="36" t="n">
        <f aca="false">-IF(M$251&gt;=1,Premissas!$D$68*Premissas!$B$33*M257,0)</f>
        <v>-3421367.16616792</v>
      </c>
      <c r="N264" s="36" t="n">
        <f aca="false">-IF(N$251&gt;=1,Premissas!$D$68*Premissas!$B$33*N257,0)</f>
        <v>-3524008.18115296</v>
      </c>
      <c r="O264" s="36" t="n">
        <f aca="false">-IF(O$251&gt;=1,Premissas!$D$68*Premissas!$B$33*O257,0)</f>
        <v>-3629728.42658755</v>
      </c>
      <c r="P264" s="3"/>
    </row>
    <row r="265" customFormat="false" ht="15" hidden="false" customHeight="false" outlineLevel="0" collapsed="false">
      <c r="A265" s="3"/>
      <c r="B265" s="14" t="s">
        <v>412</v>
      </c>
      <c r="C265" s="33" t="n">
        <f aca="false">C262+C263+C264</f>
        <v>0</v>
      </c>
      <c r="D265" s="33" t="n">
        <f aca="false">D262+D263+D264</f>
        <v>0</v>
      </c>
      <c r="E265" s="33" t="n">
        <f aca="false">E262+E263+E264</f>
        <v>0</v>
      </c>
      <c r="F265" s="33" t="n">
        <f aca="false">F262+F263+F264</f>
        <v>-1422529.8173913</v>
      </c>
      <c r="G265" s="33" t="n">
        <f aca="false">G262+G263+G264</f>
        <v>-1028561.76321739</v>
      </c>
      <c r="H265" s="33" t="n">
        <f aca="false">H262+H263+H264</f>
        <v>-1073654.45161391</v>
      </c>
      <c r="I265" s="33" t="n">
        <f aca="false">I262+I263+I264</f>
        <v>-1120455.81654983</v>
      </c>
      <c r="J265" s="33" t="n">
        <f aca="false">J262+J263+J264</f>
        <v>-1169026.01571852</v>
      </c>
      <c r="K265" s="33" t="n">
        <f aca="false">K262+K263+K264</f>
        <v>-1219427.23397906</v>
      </c>
      <c r="L265" s="33" t="n">
        <f aca="false">L262+L263+L264</f>
        <v>-1271723.74973215</v>
      </c>
      <c r="M265" s="33" t="n">
        <f aca="false">M262+M263+M264</f>
        <v>-1325982.00342618</v>
      </c>
      <c r="N265" s="33" t="n">
        <f aca="false">N262+N263+N264</f>
        <v>-1382270.66826107</v>
      </c>
      <c r="O265" s="33" t="n">
        <f aca="false">O262+O263+O264</f>
        <v>-1440660.72315932</v>
      </c>
      <c r="P265" s="3"/>
    </row>
    <row r="266" customFormat="false" ht="15" hidden="false" customHeight="false" outlineLevel="0" collapsed="false">
      <c r="A266" s="3"/>
      <c r="B266" s="4" t="s">
        <v>413</v>
      </c>
      <c r="C266" s="42" t="n">
        <f aca="false">IF(C262=0,0,C265/C262)</f>
        <v>0</v>
      </c>
      <c r="D266" s="42" t="n">
        <f aca="false">IF(D262=0,0,D265/D262)</f>
        <v>0</v>
      </c>
      <c r="E266" s="42" t="n">
        <f aca="false">IF(E262=0,0,E265/E262)</f>
        <v>0</v>
      </c>
      <c r="F266" s="42" t="n">
        <f aca="false">IF(F262=0,0,F265/F262)</f>
        <v>-0.678987862668004</v>
      </c>
      <c r="G266" s="42" t="n">
        <f aca="false">IF(G262=0,0,G265/G262)</f>
        <v>-0.36125795469377</v>
      </c>
      <c r="H266" s="42" t="n">
        <f aca="false">IF(H262=0,0,H265/H262)</f>
        <v>-0.367898237399593</v>
      </c>
      <c r="I266" s="42" t="n">
        <f aca="false">IF(I262=0,0,I265/I262)</f>
        <v>-0.374570911728372</v>
      </c>
      <c r="J266" s="42" t="n">
        <f aca="false">IF(J262=0,0,J265/J262)</f>
        <v>-0.381276135688023</v>
      </c>
      <c r="K266" s="42" t="n">
        <f aca="false">IF(K262=0,0,K265/K262)</f>
        <v>-0.388014068057233</v>
      </c>
      <c r="L266" s="42" t="n">
        <f aca="false">IF(L262=0,0,L265/L262)</f>
        <v>-0.39478486838922</v>
      </c>
      <c r="M266" s="42" t="n">
        <f aca="false">IF(M262=0,0,M265/M262)</f>
        <v>-0.401588697015508</v>
      </c>
      <c r="N266" s="42" t="n">
        <f aca="false">IF(N262=0,0,N265/N262)</f>
        <v>-0.408425715049731</v>
      </c>
      <c r="O266" s="42" t="n">
        <f aca="false">IF(O262=0,0,O265/O262)</f>
        <v>-0.415296084391437</v>
      </c>
      <c r="P266" s="3"/>
    </row>
    <row r="267" customFormat="false" ht="15" hidden="false" customHeight="false" outlineLevel="0" collapsed="false">
      <c r="A267" s="3"/>
      <c r="B267" s="4" t="s">
        <v>414</v>
      </c>
      <c r="C267" s="36" t="n">
        <f aca="false">-IF(C$251&gt;=1,Premissas!$D$52*(1-Premissas!$B$35)/10,0)</f>
        <v>-0</v>
      </c>
      <c r="D267" s="36" t="n">
        <f aca="false">-IF(D$251&gt;=1,Premissas!$D$52*(1-Premissas!$B$35)/10,0)</f>
        <v>-0</v>
      </c>
      <c r="E267" s="36" t="n">
        <f aca="false">-IF(E$251&gt;=1,Premissas!$D$52*(1-Premissas!$B$35)/10,0)</f>
        <v>-0</v>
      </c>
      <c r="F267" s="36" t="n">
        <f aca="false">-IF(F$251&gt;=1,Premissas!$D$52*(1-Premissas!$B$35)/10,0)</f>
        <v>-1756700</v>
      </c>
      <c r="G267" s="36" t="n">
        <f aca="false">-IF(G$251&gt;=1,Premissas!$D$52*(1-Premissas!$B$35)/10,0)</f>
        <v>-1756700</v>
      </c>
      <c r="H267" s="36" t="n">
        <f aca="false">-IF(H$251&gt;=1,Premissas!$D$52*(1-Premissas!$B$35)/10,0)</f>
        <v>-1756700</v>
      </c>
      <c r="I267" s="36" t="n">
        <f aca="false">-IF(I$251&gt;=1,Premissas!$D$52*(1-Premissas!$B$35)/10,0)</f>
        <v>-1756700</v>
      </c>
      <c r="J267" s="36" t="n">
        <f aca="false">-IF(J$251&gt;=1,Premissas!$D$52*(1-Premissas!$B$35)/10,0)</f>
        <v>-1756700</v>
      </c>
      <c r="K267" s="36" t="n">
        <f aca="false">-IF(K$251&gt;=1,Premissas!$D$52*(1-Premissas!$B$35)/10,0)</f>
        <v>-1756700</v>
      </c>
      <c r="L267" s="36" t="n">
        <f aca="false">-IF(L$251&gt;=1,Premissas!$D$52*(1-Premissas!$B$35)/10,0)</f>
        <v>-1756700</v>
      </c>
      <c r="M267" s="36" t="n">
        <f aca="false">-IF(M$251&gt;=1,Premissas!$D$52*(1-Premissas!$B$35)/10,0)</f>
        <v>-1756700</v>
      </c>
      <c r="N267" s="36" t="n">
        <f aca="false">-IF(N$251&gt;=1,Premissas!$D$52*(1-Premissas!$B$35)/10,0)</f>
        <v>-1756700</v>
      </c>
      <c r="O267" s="36" t="n">
        <f aca="false">-IF(O$251&gt;=1,Premissas!$D$52*(1-Premissas!$B$35)/10,0)</f>
        <v>-1756700</v>
      </c>
      <c r="P267" s="3"/>
    </row>
    <row r="268" customFormat="false" ht="15" hidden="false" customHeight="false" outlineLevel="0" collapsed="false">
      <c r="A268" s="3"/>
      <c r="B268" s="14" t="s">
        <v>415</v>
      </c>
      <c r="C268" s="40" t="n">
        <f aca="false">C265+C267</f>
        <v>0</v>
      </c>
      <c r="D268" s="40" t="n">
        <f aca="false">D265+D267</f>
        <v>0</v>
      </c>
      <c r="E268" s="40" t="n">
        <f aca="false">E265+E267</f>
        <v>0</v>
      </c>
      <c r="F268" s="40" t="n">
        <f aca="false">F265+F267</f>
        <v>-3179229.8173913</v>
      </c>
      <c r="G268" s="40" t="n">
        <f aca="false">G265+G267</f>
        <v>-2785261.76321739</v>
      </c>
      <c r="H268" s="40" t="n">
        <f aca="false">H265+H267</f>
        <v>-2830354.45161391</v>
      </c>
      <c r="I268" s="40" t="n">
        <f aca="false">I265+I267</f>
        <v>-2877155.81654983</v>
      </c>
      <c r="J268" s="40" t="n">
        <f aca="false">J265+J267</f>
        <v>-2925726.01571852</v>
      </c>
      <c r="K268" s="40" t="n">
        <f aca="false">K265+K267</f>
        <v>-2976127.23397906</v>
      </c>
      <c r="L268" s="40" t="n">
        <f aca="false">L265+L267</f>
        <v>-3028423.74973215</v>
      </c>
      <c r="M268" s="40" t="n">
        <f aca="false">M265+M267</f>
        <v>-3082682.00342618</v>
      </c>
      <c r="N268" s="40" t="n">
        <f aca="false">N265+N267</f>
        <v>-3138970.66826107</v>
      </c>
      <c r="O268" s="40" t="n">
        <f aca="false">O265+O267</f>
        <v>-3197360.72315932</v>
      </c>
      <c r="P268" s="3"/>
    </row>
    <row r="269" customFormat="false" ht="15" hidden="false" customHeight="false" outlineLevel="0" collapsed="false">
      <c r="A269" s="3"/>
      <c r="B269" s="4" t="s">
        <v>416</v>
      </c>
      <c r="C269" s="36" t="n">
        <f aca="false">-MAX(0,C268)*Premissas!$B$11</f>
        <v>-0</v>
      </c>
      <c r="D269" s="36" t="n">
        <f aca="false">-MAX(0,D268)*Premissas!$B$11</f>
        <v>-0</v>
      </c>
      <c r="E269" s="36" t="n">
        <f aca="false">-MAX(0,E268)*Premissas!$B$11</f>
        <v>-0</v>
      </c>
      <c r="F269" s="36" t="n">
        <f aca="false">-MAX(0,F268)*Premissas!$B$11</f>
        <v>-0</v>
      </c>
      <c r="G269" s="36" t="n">
        <f aca="false">-MAX(0,G268)*Premissas!$B$11</f>
        <v>-0</v>
      </c>
      <c r="H269" s="36" t="n">
        <f aca="false">-MAX(0,H268)*Premissas!$B$11</f>
        <v>-0</v>
      </c>
      <c r="I269" s="36" t="n">
        <f aca="false">-MAX(0,I268)*Premissas!$B$11</f>
        <v>-0</v>
      </c>
      <c r="J269" s="36" t="n">
        <f aca="false">-MAX(0,J268)*Premissas!$B$11</f>
        <v>-0</v>
      </c>
      <c r="K269" s="36" t="n">
        <f aca="false">-MAX(0,K268)*Premissas!$B$11</f>
        <v>-0</v>
      </c>
      <c r="L269" s="36" t="n">
        <f aca="false">-MAX(0,L268)*Premissas!$B$11</f>
        <v>-0</v>
      </c>
      <c r="M269" s="36" t="n">
        <f aca="false">-MAX(0,M268)*Premissas!$B$11</f>
        <v>-0</v>
      </c>
      <c r="N269" s="36" t="n">
        <f aca="false">-MAX(0,N268)*Premissas!$B$11</f>
        <v>-0</v>
      </c>
      <c r="O269" s="36" t="n">
        <f aca="false">-MAX(0,O268)*Premissas!$B$11</f>
        <v>-0</v>
      </c>
      <c r="P269" s="3"/>
    </row>
    <row r="270" customFormat="false" ht="15" hidden="false" customHeight="false" outlineLevel="0" collapsed="false">
      <c r="A270" s="3"/>
      <c r="B270" s="4" t="s">
        <v>417</v>
      </c>
      <c r="C270" s="36" t="n">
        <f aca="false">-(IF(C$251=3,Premissas!$D$80,0)+IF(C$251=5,Premissas!$D$81,0)+IF(C$251=8,Premissas!$D$82,0)+IF(C$251=10,Premissas!$D$83,0))*C257</f>
        <v>-0</v>
      </c>
      <c r="D270" s="36" t="n">
        <f aca="false">-(IF(D$251=3,Premissas!$D$80,0)+IF(D$251=5,Premissas!$D$81,0)+IF(D$251=8,Premissas!$D$82,0)+IF(D$251=10,Premissas!$D$83,0))*D257</f>
        <v>-0</v>
      </c>
      <c r="E270" s="36" t="n">
        <f aca="false">-(IF(E$251=3,Premissas!$D$80,0)+IF(E$251=5,Premissas!$D$81,0)+IF(E$251=8,Premissas!$D$82,0)+IF(E$251=10,Premissas!$D$83,0))*E257</f>
        <v>-0</v>
      </c>
      <c r="F270" s="36" t="n">
        <f aca="false">-(IF(F$251=3,Premissas!$D$80,0)+IF(F$251=5,Premissas!$D$81,0)+IF(F$251=8,Premissas!$D$82,0)+IF(F$251=10,Premissas!$D$83,0))*F257</f>
        <v>-0</v>
      </c>
      <c r="G270" s="36" t="n">
        <f aca="false">-(IF(G$251=3,Premissas!$D$80,0)+IF(G$251=5,Premissas!$D$81,0)+IF(G$251=8,Premissas!$D$82,0)+IF(G$251=10,Premissas!$D$83,0))*G257</f>
        <v>-0</v>
      </c>
      <c r="H270" s="36" t="n">
        <f aca="false">-(IF(H$251=3,Premissas!$D$80,0)+IF(H$251=5,Premissas!$D$81,0)+IF(H$251=8,Premissas!$D$82,0)+IF(H$251=10,Premissas!$D$83,0))*H257</f>
        <v>-265225</v>
      </c>
      <c r="I270" s="36" t="n">
        <f aca="false">-(IF(I$251=3,Premissas!$D$80,0)+IF(I$251=5,Premissas!$D$81,0)+IF(I$251=8,Premissas!$D$82,0)+IF(I$251=10,Premissas!$D$83,0))*I257</f>
        <v>-0</v>
      </c>
      <c r="J270" s="36" t="n">
        <f aca="false">-(IF(J$251=3,Premissas!$D$80,0)+IF(J$251=5,Premissas!$D$81,0)+IF(J$251=8,Premissas!$D$82,0)+IF(J$251=10,Premissas!$D$83,0))*J257</f>
        <v>-675305.286</v>
      </c>
      <c r="K270" s="36" t="n">
        <f aca="false">-(IF(K$251=3,Premissas!$D$80,0)+IF(K$251=5,Premissas!$D$81,0)+IF(K$251=8,Premissas!$D$82,0)+IF(K$251=10,Premissas!$D$83,0))*K257</f>
        <v>-0</v>
      </c>
      <c r="L270" s="36" t="n">
        <f aca="false">-(IF(L$251=3,Premissas!$D$80,0)+IF(L$251=5,Premissas!$D$81,0)+IF(L$251=8,Premissas!$D$82,0)+IF(L$251=10,Premissas!$D$83,0))*L257</f>
        <v>-0</v>
      </c>
      <c r="M270" s="36" t="n">
        <f aca="false">-(IF(M$251=3,Premissas!$D$80,0)+IF(M$251=5,Premissas!$D$81,0)+IF(M$251=8,Premissas!$D$82,0)+IF(M$251=10,Premissas!$D$83,0))*M257</f>
        <v>-368962.159627461</v>
      </c>
      <c r="N270" s="36" t="n">
        <f aca="false">-(IF(N$251=3,Premissas!$D$80,0)+IF(N$251=5,Premissas!$D$81,0)+IF(N$251=8,Premissas!$D$82,0)+IF(N$251=10,Premissas!$D$83,0))*N257</f>
        <v>-0</v>
      </c>
      <c r="O270" s="36" t="n">
        <f aca="false">-(IF(O$251=3,Premissas!$D$80,0)+IF(O$251=5,Premissas!$D$81,0)+IF(O$251=8,Premissas!$D$82,0)+IF(O$251=10,Premissas!$D$83,0))*O257</f>
        <v>-913341.228680471</v>
      </c>
      <c r="P270" s="3"/>
    </row>
    <row r="271" customFormat="false" ht="15" hidden="false" customHeight="false" outlineLevel="0" collapsed="false">
      <c r="A271" s="3"/>
      <c r="B271" s="4" t="s">
        <v>418</v>
      </c>
      <c r="C271" s="36" t="n">
        <f aca="false">-IF(C$251&gt;=1,Premissas!$D$52*(Premissas!$D$84+IF(C$251=6,Premissas!$D$85,0))*C257,0)</f>
        <v>-0</v>
      </c>
      <c r="D271" s="36" t="n">
        <f aca="false">-IF(D$251&gt;=1,Premissas!$D$52*(Premissas!$D$84+IF(D$251=6,Premissas!$D$85,0))*D257,0)</f>
        <v>-0</v>
      </c>
      <c r="E271" s="36" t="n">
        <f aca="false">-IF(E$251&gt;=1,Premissas!$D$52*(Premissas!$D$84+IF(E$251=6,Premissas!$D$85,0))*E257,0)</f>
        <v>-0</v>
      </c>
      <c r="F271" s="36" t="n">
        <f aca="false">-IF(F$251&gt;=1,Premissas!$D$52*(Premissas!$D$84+IF(F$251=6,Premissas!$D$85,0))*F257,0)</f>
        <v>-159700</v>
      </c>
      <c r="G271" s="36" t="n">
        <f aca="false">-IF(G$251&gt;=1,Premissas!$D$52*(Premissas!$D$84+IF(G$251=6,Premissas!$D$85,0))*G257,0)</f>
        <v>-164491</v>
      </c>
      <c r="H271" s="36" t="n">
        <f aca="false">-IF(H$251&gt;=1,Premissas!$D$52*(Premissas!$D$84+IF(H$251=6,Premissas!$D$85,0))*H257,0)</f>
        <v>-169425.73</v>
      </c>
      <c r="I271" s="36" t="n">
        <f aca="false">-IF(I$251&gt;=1,Premissas!$D$52*(Premissas!$D$84+IF(I$251=6,Premissas!$D$85,0))*I257,0)</f>
        <v>-174508.5019</v>
      </c>
      <c r="J271" s="36" t="n">
        <f aca="false">-IF(J$251&gt;=1,Premissas!$D$52*(Premissas!$D$84+IF(J$251=6,Premissas!$D$85,0))*J257,0)</f>
        <v>-179743.756957</v>
      </c>
      <c r="K271" s="36" t="n">
        <f aca="false">-IF(K$251&gt;=1,Premissas!$D$52*(Premissas!$D$84+IF(K$251=6,Premissas!$D$85,0))*K257,0)</f>
        <v>-1666224.62699139</v>
      </c>
      <c r="L271" s="36" t="n">
        <f aca="false">-IF(L$251&gt;=1,Premissas!$D$52*(Premissas!$D$84+IF(L$251=6,Premissas!$D$85,0))*L257,0)</f>
        <v>-190690.151755681</v>
      </c>
      <c r="M271" s="36" t="n">
        <f aca="false">-IF(M$251&gt;=1,Premissas!$D$52*(Premissas!$D$84+IF(M$251=6,Premissas!$D$85,0))*M257,0)</f>
        <v>-196410.856308352</v>
      </c>
      <c r="N271" s="36" t="n">
        <f aca="false">-IF(N$251&gt;=1,Premissas!$D$52*(Premissas!$D$84+IF(N$251=6,Premissas!$D$85,0))*N257,0)</f>
        <v>-202303.181997602</v>
      </c>
      <c r="O271" s="36" t="n">
        <f aca="false">-IF(O$251&gt;=1,Premissas!$D$52*(Premissas!$D$84+IF(O$251=6,Premissas!$D$85,0))*O257,0)</f>
        <v>-208372.27745753</v>
      </c>
      <c r="P271" s="3"/>
    </row>
    <row r="272" customFormat="false" ht="15" hidden="false" customHeight="false" outlineLevel="0" collapsed="false">
      <c r="A272" s="3"/>
      <c r="B272" s="4" t="s">
        <v>419</v>
      </c>
      <c r="C272" s="36" t="n">
        <f aca="false">-Premissas!$D$52*Premissas!$D$53</f>
        <v>-6388000</v>
      </c>
      <c r="D272" s="36" t="n">
        <f aca="false">-Premissas!$D$52*Premissas!$D$54</f>
        <v>-6388000</v>
      </c>
      <c r="E272" s="36" t="n">
        <f aca="false">-Premissas!$D$52*Premissas!$D$55</f>
        <v>-19164000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0</v>
      </c>
      <c r="K272" s="36" t="n">
        <v>0</v>
      </c>
      <c r="L272" s="36" t="n">
        <v>0</v>
      </c>
      <c r="M272" s="36" t="n">
        <v>0</v>
      </c>
      <c r="N272" s="36" t="n">
        <v>0</v>
      </c>
      <c r="O272" s="36" t="n">
        <v>0</v>
      </c>
      <c r="P272" s="3"/>
    </row>
    <row r="273" customFormat="false" ht="15" hidden="false" customHeight="false" outlineLevel="0" collapsed="false">
      <c r="A273" s="3"/>
      <c r="B273" s="4" t="s">
        <v>420</v>
      </c>
      <c r="C273" s="36" t="n">
        <f aca="false">IF(C$251=10,Premissas!$D$52*Premissas!$B$35,0)</f>
        <v>0</v>
      </c>
      <c r="D273" s="36" t="n">
        <f aca="false">IF(D$251=10,Premissas!$D$52*Premissas!$B$35,0)</f>
        <v>0</v>
      </c>
      <c r="E273" s="36" t="n">
        <f aca="false">IF(E$251=10,Premissas!$D$52*Premissas!$B$35,0)</f>
        <v>0</v>
      </c>
      <c r="F273" s="36" t="n">
        <f aca="false">IF(F$251=10,Premissas!$D$52*Premissas!$B$35,0)</f>
        <v>0</v>
      </c>
      <c r="G273" s="36" t="n">
        <f aca="false">IF(G$251=10,Premissas!$D$52*Premissas!$B$35,0)</f>
        <v>0</v>
      </c>
      <c r="H273" s="36" t="n">
        <f aca="false">IF(H$251=10,Premissas!$D$52*Premissas!$B$35,0)</f>
        <v>0</v>
      </c>
      <c r="I273" s="36" t="n">
        <f aca="false">IF(I$251=10,Premissas!$D$52*Premissas!$B$35,0)</f>
        <v>0</v>
      </c>
      <c r="J273" s="36" t="n">
        <f aca="false">IF(J$251=10,Premissas!$D$52*Premissas!$B$35,0)</f>
        <v>0</v>
      </c>
      <c r="K273" s="36" t="n">
        <f aca="false">IF(K$251=10,Premissas!$D$52*Premissas!$B$35,0)</f>
        <v>0</v>
      </c>
      <c r="L273" s="36" t="n">
        <f aca="false">IF(L$251=10,Premissas!$D$52*Premissas!$B$35,0)</f>
        <v>0</v>
      </c>
      <c r="M273" s="36" t="n">
        <f aca="false">IF(M$251=10,Premissas!$D$52*Premissas!$B$35,0)</f>
        <v>0</v>
      </c>
      <c r="N273" s="36" t="n">
        <f aca="false">IF(N$251=10,Premissas!$D$52*Premissas!$B$35,0)</f>
        <v>0</v>
      </c>
      <c r="O273" s="36" t="n">
        <f aca="false">IF(O$251=10,Premissas!$D$52*Premissas!$B$35,0)</f>
        <v>14373000</v>
      </c>
      <c r="P273" s="3"/>
    </row>
    <row r="274" customFormat="false" ht="15" hidden="false" customHeight="false" outlineLevel="0" collapsed="false">
      <c r="A274" s="3"/>
      <c r="B274" s="14" t="s">
        <v>421</v>
      </c>
      <c r="C274" s="33" t="n">
        <f aca="false">C265+C269+C270+C271+C272+C273</f>
        <v>-6388000</v>
      </c>
      <c r="D274" s="33" t="n">
        <f aca="false">D265+D269+D270+D271+D272+D273</f>
        <v>-6388000</v>
      </c>
      <c r="E274" s="33" t="n">
        <f aca="false">E265+E269+E270+E271+E272+E273</f>
        <v>-19164000</v>
      </c>
      <c r="F274" s="33" t="n">
        <f aca="false">F265+F269+F270+F271+F272+F273</f>
        <v>-1582229.8173913</v>
      </c>
      <c r="G274" s="33" t="n">
        <f aca="false">G265+G269+G270+G271+G272+G273</f>
        <v>-1193052.76321739</v>
      </c>
      <c r="H274" s="33" t="n">
        <f aca="false">H265+H269+H270+H271+H272+H273</f>
        <v>-1508305.18161391</v>
      </c>
      <c r="I274" s="33" t="n">
        <f aca="false">I265+I269+I270+I271+I272+I273</f>
        <v>-1294964.31844983</v>
      </c>
      <c r="J274" s="33" t="n">
        <f aca="false">J265+J269+J270+J271+J272+J273</f>
        <v>-2024075.05867552</v>
      </c>
      <c r="K274" s="33" t="n">
        <f aca="false">K265+K269+K270+K271+K272+K273</f>
        <v>-2885651.86097045</v>
      </c>
      <c r="L274" s="33" t="n">
        <f aca="false">L265+L269+L270+L271+L272+L273</f>
        <v>-1462413.90148783</v>
      </c>
      <c r="M274" s="33" t="n">
        <f aca="false">M265+M269+M270+M271+M272+M273</f>
        <v>-1891355.01936199</v>
      </c>
      <c r="N274" s="33" t="n">
        <f aca="false">N265+N269+N270+N271+N272+N273</f>
        <v>-1584573.85025868</v>
      </c>
      <c r="O274" s="33" t="n">
        <f aca="false">O265+O269+O270+O271+O272+O273</f>
        <v>11810625.7707027</v>
      </c>
      <c r="P274" s="3"/>
    </row>
    <row r="275" customFormat="false" ht="15" hidden="false" customHeight="false" outlineLevel="0" collapsed="false">
      <c r="A275" s="3"/>
      <c r="B275" s="4" t="s">
        <v>422</v>
      </c>
      <c r="C275" s="36" t="n">
        <f aca="false">C274-C273</f>
        <v>-6388000</v>
      </c>
      <c r="D275" s="36" t="n">
        <f aca="false">C275+D274-D273</f>
        <v>-12776000</v>
      </c>
      <c r="E275" s="36" t="n">
        <f aca="false">D275+E274-E273</f>
        <v>-31940000</v>
      </c>
      <c r="F275" s="36" t="n">
        <f aca="false">E275+F274-F273</f>
        <v>-33522229.8173913</v>
      </c>
      <c r="G275" s="36" t="n">
        <f aca="false">F275+G274-G273</f>
        <v>-34715282.5806087</v>
      </c>
      <c r="H275" s="36" t="n">
        <f aca="false">G275+H274-H273</f>
        <v>-36223587.7622226</v>
      </c>
      <c r="I275" s="36" t="n">
        <f aca="false">H275+I274-I273</f>
        <v>-37518552.0806724</v>
      </c>
      <c r="J275" s="36" t="n">
        <f aca="false">I275+J274-J273</f>
        <v>-39542627.139348</v>
      </c>
      <c r="K275" s="36" t="n">
        <f aca="false">J275+K274-K273</f>
        <v>-42428279.0003184</v>
      </c>
      <c r="L275" s="36" t="n">
        <f aca="false">K275+L274-L273</f>
        <v>-43890692.9018062</v>
      </c>
      <c r="M275" s="36" t="n">
        <f aca="false">L275+M274-M273</f>
        <v>-45782047.9211682</v>
      </c>
      <c r="N275" s="36" t="n">
        <f aca="false">M275+N274-N273</f>
        <v>-47366621.7714269</v>
      </c>
      <c r="O275" s="36" t="n">
        <f aca="false">N275+O274-O273</f>
        <v>-49928996.0007242</v>
      </c>
      <c r="P275" s="3"/>
    </row>
    <row r="276" customFormat="false" ht="15" hidden="false" customHeight="false" outlineLevel="0" collapsed="false">
      <c r="A276" s="3"/>
      <c r="B276" s="6" t="s">
        <v>423</v>
      </c>
      <c r="C276" s="46" t="n">
        <v>0</v>
      </c>
      <c r="D276" s="46" t="n">
        <v>0</v>
      </c>
      <c r="E276" s="46" t="n">
        <v>0</v>
      </c>
      <c r="F276" s="46" t="n">
        <f aca="false">IF(AND(E275&lt;0,F275&gt;=0),F$251-1+(-E275)/(F274-F273),0)</f>
        <v>0</v>
      </c>
      <c r="G276" s="46" t="n">
        <f aca="false">IF(AND(F275&lt;0,G275&gt;=0),G$251-1+(-F275)/(G274-G273),0)</f>
        <v>0</v>
      </c>
      <c r="H276" s="46" t="n">
        <f aca="false">IF(AND(G275&lt;0,H275&gt;=0),H$251-1+(-G275)/(H274-H273),0)</f>
        <v>0</v>
      </c>
      <c r="I276" s="46" t="n">
        <f aca="false">IF(AND(H275&lt;0,I275&gt;=0),I$251-1+(-H275)/(I274-I273),0)</f>
        <v>0</v>
      </c>
      <c r="J276" s="46" t="n">
        <f aca="false">IF(AND(I275&lt;0,J275&gt;=0),J$251-1+(-I275)/(J274-J273),0)</f>
        <v>0</v>
      </c>
      <c r="K276" s="46" t="n">
        <f aca="false">IF(AND(J275&lt;0,K275&gt;=0),K$251-1+(-J275)/(K274-K273),0)</f>
        <v>0</v>
      </c>
      <c r="L276" s="46" t="n">
        <f aca="false">IF(AND(K275&lt;0,L275&gt;=0),L$251-1+(-K275)/(L274-L273),0)</f>
        <v>0</v>
      </c>
      <c r="M276" s="46" t="n">
        <f aca="false">IF(AND(L275&lt;0,M275&gt;=0),M$251-1+(-L275)/(M274-M273),0)</f>
        <v>0</v>
      </c>
      <c r="N276" s="46" t="n">
        <f aca="false">IF(AND(M275&lt;0,N275&gt;=0),N$251-1+(-M275)/(N274-N273),0)</f>
        <v>0</v>
      </c>
      <c r="O276" s="46" t="n">
        <f aca="false">IF(AND(N275&lt;0,O275&gt;=0),O$251-1+(-N275)/(O274-O273),0)</f>
        <v>0</v>
      </c>
      <c r="P276" s="3"/>
    </row>
    <row r="277" customFormat="false" ht="15" hidden="false" customHeight="false" outlineLevel="0" collapsed="false">
      <c r="A277" s="3"/>
      <c r="B277" s="14" t="s">
        <v>424</v>
      </c>
      <c r="C277" s="47" t="str">
        <f aca="false">IFERROR(IRR(C274:O274,0.05),IFERROR(IRR(C274:O274,-0.05),IF(SUM(C274:O274)&lt;0,"negativa","n/d")))</f>
        <v>negativa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customFormat="false" ht="15" hidden="false" customHeight="false" outlineLevel="0" collapsed="false">
      <c r="A278" s="3"/>
      <c r="B278" s="14" t="s">
        <v>425</v>
      </c>
      <c r="C278" s="48" t="n">
        <f aca="false">C274*(1+Premissas!$B$10)^2+D274*(1+Premissas!$B$10)+E274+NPV(Premissas!$B$10,F274:O274)</f>
        <v>-38999308.5604089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customFormat="false" ht="15" hidden="false" customHeight="false" outlineLevel="0" collapsed="false">
      <c r="A279" s="3"/>
      <c r="B279" s="14" t="s">
        <v>426</v>
      </c>
      <c r="C279" s="49" t="str">
        <f aca="false">IF(SUM(F276:O276)=0,"&gt; 10",SUM(F276:O276))</f>
        <v>&gt; 10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customFormat="false" ht="15" hidden="false" customHeight="false" outlineLevel="0" collapsed="false">
      <c r="A280" s="3"/>
      <c r="B280" s="14" t="s">
        <v>427</v>
      </c>
      <c r="C280" s="47" t="n">
        <f aca="false">SUM(C274:O274)/-SUM(C272:E272)</f>
        <v>-1.11321214779976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customFormat="false" ht="15" hidden="false" customHeight="false" outlineLevel="0" collapsed="false">
      <c r="A281" s="3"/>
      <c r="B281" s="14" t="s">
        <v>428</v>
      </c>
      <c r="C281" s="47" t="n">
        <f aca="false">AVERAGE(F268:O268)*(1-Premissas!$B$11)/-SUM(C272:E272)</f>
        <v>-0.0620352313099943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customFormat="false" ht="15" hidden="false" customHeight="false" outlineLevel="0" collapsed="false">
      <c r="A282" s="3"/>
      <c r="B282" s="14" t="s">
        <v>429</v>
      </c>
      <c r="C282" s="48" t="n">
        <f aca="false">H265</f>
        <v>-1073654.45161391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customFormat="false" ht="15" hidden="false" customHeight="false" outlineLevel="0" collapsed="false">
      <c r="A283" s="3"/>
      <c r="B283" s="14" t="s">
        <v>430</v>
      </c>
      <c r="C283" s="48" t="n">
        <f aca="false">H262</f>
        <v>2918346.2775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customFormat="false" ht="15" hidden="false" customHeight="false" outlineLevel="0" collapsed="false">
      <c r="A284" s="3"/>
      <c r="B284" s="14" t="s">
        <v>431</v>
      </c>
      <c r="C284" s="47" t="n">
        <f aca="false">H266</f>
        <v>-0.367898237399593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customFormat="false" ht="15" hidden="false" customHeight="false" outlineLevel="0" collapsed="false">
      <c r="A285" s="3"/>
      <c r="B285" s="14" t="s">
        <v>432</v>
      </c>
      <c r="C285" s="48" t="n">
        <f aca="false">-(H263+H264)</f>
        <v>3992000.72911391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customFormat="false" ht="15" hidden="false" customHeight="false" outlineLevel="0" collapsed="false">
      <c r="A286" s="3"/>
      <c r="B286" s="14" t="s">
        <v>433</v>
      </c>
      <c r="C286" s="50" t="n">
        <f aca="false">IFERROR(-H264/((H262+H263)/H252),"n/d")</f>
        <v>31.436169813152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customFormat="false" ht="15" hidden="false" customHeight="false" outlineLevel="0" collapsed="false">
      <c r="A287" s="3"/>
      <c r="B287" s="14" t="s">
        <v>434</v>
      </c>
      <c r="C287" s="48" t="n">
        <f aca="false">-SUM(C272:E272)</f>
        <v>31940000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customFormat="false" ht="15" hidden="false" customHeight="false" outlineLevel="0" collapsed="false">
      <c r="A288" s="3"/>
      <c r="B288" s="14" t="s">
        <v>435</v>
      </c>
      <c r="C288" s="48" t="n">
        <f aca="false">O273</f>
        <v>14373000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customFormat="false" ht="15" hidden="false" customHeight="false" outlineLevel="0" collapsed="false">
      <c r="A291" s="3"/>
      <c r="B291" s="19" t="s">
        <v>442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customFormat="false" ht="15" hidden="false" customHeight="false" outlineLevel="0" collapsed="false">
      <c r="A292" s="3"/>
      <c r="B292" s="14" t="s">
        <v>398</v>
      </c>
      <c r="C292" s="44" t="n">
        <v>-2</v>
      </c>
      <c r="D292" s="44" t="n">
        <v>-1</v>
      </c>
      <c r="E292" s="44" t="n">
        <v>0</v>
      </c>
      <c r="F292" s="44" t="n">
        <v>1</v>
      </c>
      <c r="G292" s="44" t="n">
        <v>2</v>
      </c>
      <c r="H292" s="44" t="n">
        <v>3</v>
      </c>
      <c r="I292" s="44" t="n">
        <v>4</v>
      </c>
      <c r="J292" s="44" t="n">
        <v>5</v>
      </c>
      <c r="K292" s="44" t="n">
        <v>6</v>
      </c>
      <c r="L292" s="44" t="n">
        <v>7</v>
      </c>
      <c r="M292" s="44" t="n">
        <v>8</v>
      </c>
      <c r="N292" s="44" t="n">
        <v>9</v>
      </c>
      <c r="O292" s="44" t="n">
        <v>10</v>
      </c>
      <c r="P292" s="3"/>
    </row>
    <row r="293" customFormat="false" ht="15" hidden="false" customHeight="false" outlineLevel="0" collapsed="false">
      <c r="A293" s="3"/>
      <c r="B293" s="4" t="s">
        <v>399</v>
      </c>
      <c r="C293" s="39" t="n">
        <f aca="false">IF(C$292&gt;=1,Premissas!$C$29*IF(C$292=1,Premissas!$C$37,1),0)</f>
        <v>0</v>
      </c>
      <c r="D293" s="39" t="n">
        <f aca="false">IF(D$292&gt;=1,Premissas!$C$29*IF(D$292=1,Premissas!$C$37,1),0)</f>
        <v>0</v>
      </c>
      <c r="E293" s="39" t="n">
        <f aca="false">IF(E$292&gt;=1,Premissas!$C$29*IF(E$292=1,Premissas!$C$37,1),0)</f>
        <v>0</v>
      </c>
      <c r="F293" s="39" t="n">
        <f aca="false">IF(F$292&gt;=1,Premissas!$C$29*IF(F$292=1,Premissas!$C$37,1),0)</f>
        <v>22.1</v>
      </c>
      <c r="G293" s="39" t="n">
        <f aca="false">IF(G$292&gt;=1,Premissas!$C$29*IF(G$292=1,Premissas!$C$37,1),0)</f>
        <v>26</v>
      </c>
      <c r="H293" s="39" t="n">
        <f aca="false">IF(H$292&gt;=1,Premissas!$C$29*IF(H$292=1,Premissas!$C$37,1),0)</f>
        <v>26</v>
      </c>
      <c r="I293" s="39" t="n">
        <f aca="false">IF(I$292&gt;=1,Premissas!$C$29*IF(I$292=1,Premissas!$C$37,1),0)</f>
        <v>26</v>
      </c>
      <c r="J293" s="39" t="n">
        <f aca="false">IF(J$292&gt;=1,Premissas!$C$29*IF(J$292=1,Premissas!$C$37,1),0)</f>
        <v>26</v>
      </c>
      <c r="K293" s="39" t="n">
        <f aca="false">IF(K$292&gt;=1,Premissas!$C$29*IF(K$292=1,Premissas!$C$37,1),0)</f>
        <v>26</v>
      </c>
      <c r="L293" s="39" t="n">
        <f aca="false">IF(L$292&gt;=1,Premissas!$C$29*IF(L$292=1,Premissas!$C$37,1),0)</f>
        <v>26</v>
      </c>
      <c r="M293" s="39" t="n">
        <f aca="false">IF(M$292&gt;=1,Premissas!$C$29*IF(M$292=1,Premissas!$C$37,1),0)</f>
        <v>26</v>
      </c>
      <c r="N293" s="39" t="n">
        <f aca="false">IF(N$292&gt;=1,Premissas!$C$29*IF(N$292=1,Premissas!$C$37,1),0)</f>
        <v>26</v>
      </c>
      <c r="O293" s="39" t="n">
        <f aca="false">IF(O$292&gt;=1,Premissas!$C$29*IF(O$292=1,Premissas!$C$37,1),0)</f>
        <v>26</v>
      </c>
      <c r="P293" s="3"/>
    </row>
    <row r="294" customFormat="false" ht="15" hidden="false" customHeight="false" outlineLevel="0" collapsed="false">
      <c r="A294" s="3"/>
      <c r="B294" s="4" t="s">
        <v>400</v>
      </c>
      <c r="C294" s="39" t="n">
        <f aca="false">MIN(C293,Premissas!$C$30)</f>
        <v>0</v>
      </c>
      <c r="D294" s="39" t="n">
        <f aca="false">MIN(D293,Premissas!$C$30)</f>
        <v>0</v>
      </c>
      <c r="E294" s="39" t="n">
        <f aca="false">MIN(E293,Premissas!$C$30)</f>
        <v>0</v>
      </c>
      <c r="F294" s="39" t="n">
        <f aca="false">MIN(F293,Premissas!$C$30)</f>
        <v>8</v>
      </c>
      <c r="G294" s="39" t="n">
        <f aca="false">MIN(G293,Premissas!$C$30)</f>
        <v>8</v>
      </c>
      <c r="H294" s="39" t="n">
        <f aca="false">MIN(H293,Premissas!$C$30)</f>
        <v>8</v>
      </c>
      <c r="I294" s="39" t="n">
        <f aca="false">MIN(I293,Premissas!$C$30)</f>
        <v>8</v>
      </c>
      <c r="J294" s="39" t="n">
        <f aca="false">MIN(J293,Premissas!$C$30)</f>
        <v>8</v>
      </c>
      <c r="K294" s="39" t="n">
        <f aca="false">MIN(K293,Premissas!$C$30)</f>
        <v>8</v>
      </c>
      <c r="L294" s="39" t="n">
        <f aca="false">MIN(L293,Premissas!$C$30)</f>
        <v>8</v>
      </c>
      <c r="M294" s="39" t="n">
        <f aca="false">MIN(M293,Premissas!$C$30)</f>
        <v>8</v>
      </c>
      <c r="N294" s="39" t="n">
        <f aca="false">MIN(N293,Premissas!$C$30)</f>
        <v>8</v>
      </c>
      <c r="O294" s="39" t="n">
        <f aca="false">MIN(O293,Premissas!$C$30)</f>
        <v>8</v>
      </c>
      <c r="P294" s="3"/>
    </row>
    <row r="295" customFormat="false" ht="15" hidden="false" customHeight="false" outlineLevel="0" collapsed="false">
      <c r="A295" s="3"/>
      <c r="B295" s="4" t="s">
        <v>401</v>
      </c>
      <c r="C295" s="39" t="n">
        <f aca="false">MIN(C293-C294,Premissas!$C$31)</f>
        <v>0</v>
      </c>
      <c r="D295" s="39" t="n">
        <f aca="false">MIN(D293-D294,Premissas!$C$31)</f>
        <v>0</v>
      </c>
      <c r="E295" s="39" t="n">
        <f aca="false">MIN(E293-E294,Premissas!$C$31)</f>
        <v>0</v>
      </c>
      <c r="F295" s="39" t="n">
        <f aca="false">MIN(F293-F294,Premissas!$C$31)</f>
        <v>4</v>
      </c>
      <c r="G295" s="39" t="n">
        <f aca="false">MIN(G293-G294,Premissas!$C$31)</f>
        <v>4</v>
      </c>
      <c r="H295" s="39" t="n">
        <f aca="false">MIN(H293-H294,Premissas!$C$31)</f>
        <v>4</v>
      </c>
      <c r="I295" s="39" t="n">
        <f aca="false">MIN(I293-I294,Premissas!$C$31)</f>
        <v>4</v>
      </c>
      <c r="J295" s="39" t="n">
        <f aca="false">MIN(J293-J294,Premissas!$C$31)</f>
        <v>4</v>
      </c>
      <c r="K295" s="39" t="n">
        <f aca="false">MIN(K293-K294,Premissas!$C$31)</f>
        <v>4</v>
      </c>
      <c r="L295" s="39" t="n">
        <f aca="false">MIN(L293-L294,Premissas!$C$31)</f>
        <v>4</v>
      </c>
      <c r="M295" s="39" t="n">
        <f aca="false">MIN(M293-M294,Premissas!$C$31)</f>
        <v>4</v>
      </c>
      <c r="N295" s="39" t="n">
        <f aca="false">MIN(N293-N294,Premissas!$C$31)</f>
        <v>4</v>
      </c>
      <c r="O295" s="39" t="n">
        <f aca="false">MIN(O293-O294,Premissas!$C$31)</f>
        <v>4</v>
      </c>
      <c r="P295" s="3"/>
    </row>
    <row r="296" customFormat="false" ht="15" hidden="false" customHeight="false" outlineLevel="0" collapsed="false">
      <c r="A296" s="3"/>
      <c r="B296" s="4" t="s">
        <v>402</v>
      </c>
      <c r="C296" s="39" t="n">
        <f aca="false">C293-C294-C295</f>
        <v>0</v>
      </c>
      <c r="D296" s="39" t="n">
        <f aca="false">D293-D294-D295</f>
        <v>0</v>
      </c>
      <c r="E296" s="39" t="n">
        <f aca="false">E293-E294-E295</f>
        <v>0</v>
      </c>
      <c r="F296" s="39" t="n">
        <f aca="false">F293-F294-F295</f>
        <v>10.1</v>
      </c>
      <c r="G296" s="39" t="n">
        <f aca="false">G293-G294-G295</f>
        <v>14</v>
      </c>
      <c r="H296" s="39" t="n">
        <f aca="false">H293-H294-H295</f>
        <v>14</v>
      </c>
      <c r="I296" s="39" t="n">
        <f aca="false">I293-I294-I295</f>
        <v>14</v>
      </c>
      <c r="J296" s="39" t="n">
        <f aca="false">J293-J294-J295</f>
        <v>14</v>
      </c>
      <c r="K296" s="39" t="n">
        <f aca="false">K293-K294-K295</f>
        <v>14</v>
      </c>
      <c r="L296" s="39" t="n">
        <f aca="false">L293-L294-L295</f>
        <v>14</v>
      </c>
      <c r="M296" s="39" t="n">
        <f aca="false">M293-M294-M295</f>
        <v>14</v>
      </c>
      <c r="N296" s="39" t="n">
        <f aca="false">N293-N294-N295</f>
        <v>14</v>
      </c>
      <c r="O296" s="39" t="n">
        <f aca="false">O293-O294-O295</f>
        <v>14</v>
      </c>
      <c r="P296" s="3"/>
    </row>
    <row r="297" customFormat="false" ht="15" hidden="false" customHeight="false" outlineLevel="0" collapsed="false">
      <c r="A297" s="3"/>
      <c r="B297" s="4" t="s">
        <v>403</v>
      </c>
      <c r="C297" s="45" t="n">
        <f aca="false">IF(C$292&gt;=1,(1+Premissas!$B$8)^(C$292-1),0)</f>
        <v>0</v>
      </c>
      <c r="D297" s="45" t="n">
        <f aca="false">IF(D$292&gt;=1,(1+Premissas!$B$8)^(D$292-1),0)</f>
        <v>0</v>
      </c>
      <c r="E297" s="45" t="n">
        <f aca="false">IF(E$292&gt;=1,(1+Premissas!$B$8)^(E$292-1),0)</f>
        <v>0</v>
      </c>
      <c r="F297" s="45" t="n">
        <f aca="false">IF(F$292&gt;=1,(1+Premissas!$B$8)^(F$292-1),0)</f>
        <v>1</v>
      </c>
      <c r="G297" s="45" t="n">
        <f aca="false">IF(G$292&gt;=1,(1+Premissas!$B$8)^(G$292-1),0)</f>
        <v>1.025</v>
      </c>
      <c r="H297" s="45" t="n">
        <f aca="false">IF(H$292&gt;=1,(1+Premissas!$B$8)^(H$292-1),0)</f>
        <v>1.050625</v>
      </c>
      <c r="I297" s="45" t="n">
        <f aca="false">IF(I$292&gt;=1,(1+Premissas!$B$8)^(I$292-1),0)</f>
        <v>1.076890625</v>
      </c>
      <c r="J297" s="45" t="n">
        <f aca="false">IF(J$292&gt;=1,(1+Premissas!$B$8)^(J$292-1),0)</f>
        <v>1.103812890625</v>
      </c>
      <c r="K297" s="45" t="n">
        <f aca="false">IF(K$292&gt;=1,(1+Premissas!$B$8)^(K$292-1),0)</f>
        <v>1.13140821289062</v>
      </c>
      <c r="L297" s="45" t="n">
        <f aca="false">IF(L$292&gt;=1,(1+Premissas!$B$8)^(L$292-1),0)</f>
        <v>1.15969341821289</v>
      </c>
      <c r="M297" s="45" t="n">
        <f aca="false">IF(M$292&gt;=1,(1+Premissas!$B$8)^(M$292-1),0)</f>
        <v>1.18868575366821</v>
      </c>
      <c r="N297" s="45" t="n">
        <f aca="false">IF(N$292&gt;=1,(1+Premissas!$B$8)^(N$292-1),0)</f>
        <v>1.21840289750992</v>
      </c>
      <c r="O297" s="45" t="n">
        <f aca="false">IF(O$292&gt;=1,(1+Premissas!$B$8)^(O$292-1),0)</f>
        <v>1.24886296994767</v>
      </c>
      <c r="P297" s="3"/>
    </row>
    <row r="298" customFormat="false" ht="15" hidden="false" customHeight="false" outlineLevel="0" collapsed="false">
      <c r="A298" s="3"/>
      <c r="B298" s="4" t="s">
        <v>404</v>
      </c>
      <c r="C298" s="45" t="n">
        <f aca="false">IF(C$292&gt;=1,(1+Premissas!$B$9)^(C$292-1),0)</f>
        <v>0</v>
      </c>
      <c r="D298" s="45" t="n">
        <f aca="false">IF(D$292&gt;=1,(1+Premissas!$B$9)^(D$292-1),0)</f>
        <v>0</v>
      </c>
      <c r="E298" s="45" t="n">
        <f aca="false">IF(E$292&gt;=1,(1+Premissas!$B$9)^(E$292-1),0)</f>
        <v>0</v>
      </c>
      <c r="F298" s="45" t="n">
        <f aca="false">IF(F$292&gt;=1,(1+Premissas!$B$9)^(F$292-1),0)</f>
        <v>1</v>
      </c>
      <c r="G298" s="45" t="n">
        <f aca="false">IF(G$292&gt;=1,(1+Premissas!$B$9)^(G$292-1),0)</f>
        <v>1.03</v>
      </c>
      <c r="H298" s="45" t="n">
        <f aca="false">IF(H$292&gt;=1,(1+Premissas!$B$9)^(H$292-1),0)</f>
        <v>1.0609</v>
      </c>
      <c r="I298" s="45" t="n">
        <f aca="false">IF(I$292&gt;=1,(1+Premissas!$B$9)^(I$292-1),0)</f>
        <v>1.092727</v>
      </c>
      <c r="J298" s="45" t="n">
        <f aca="false">IF(J$292&gt;=1,(1+Premissas!$B$9)^(J$292-1),0)</f>
        <v>1.12550881</v>
      </c>
      <c r="K298" s="45" t="n">
        <f aca="false">IF(K$292&gt;=1,(1+Premissas!$B$9)^(K$292-1),0)</f>
        <v>1.1592740743</v>
      </c>
      <c r="L298" s="45" t="n">
        <f aca="false">IF(L$292&gt;=1,(1+Premissas!$B$9)^(L$292-1),0)</f>
        <v>1.194052296529</v>
      </c>
      <c r="M298" s="45" t="n">
        <f aca="false">IF(M$292&gt;=1,(1+Premissas!$B$9)^(M$292-1),0)</f>
        <v>1.22987386542487</v>
      </c>
      <c r="N298" s="45" t="n">
        <f aca="false">IF(N$292&gt;=1,(1+Premissas!$B$9)^(N$292-1),0)</f>
        <v>1.26677008138762</v>
      </c>
      <c r="O298" s="45" t="n">
        <f aca="false">IF(O$292&gt;=1,(1+Premissas!$B$9)^(O$292-1),0)</f>
        <v>1.30477318382925</v>
      </c>
      <c r="P298" s="3"/>
    </row>
    <row r="299" customFormat="false" ht="15" hidden="false" customHeight="false" outlineLevel="0" collapsed="false">
      <c r="A299" s="3"/>
      <c r="B299" s="4" t="s">
        <v>405</v>
      </c>
      <c r="C299" s="36" t="n">
        <f aca="false">C294*Premissas!$D$77*Premissas!$C$32*C297</f>
        <v>0</v>
      </c>
      <c r="D299" s="36" t="n">
        <f aca="false">D294*Premissas!$D$77*Premissas!$C$32*D297</f>
        <v>0</v>
      </c>
      <c r="E299" s="36" t="n">
        <f aca="false">E294*Premissas!$D$77*Premissas!$C$32*E297</f>
        <v>0</v>
      </c>
      <c r="F299" s="36" t="n">
        <f aca="false">F294*Premissas!$D$77*Premissas!$C$32*F297</f>
        <v>1360000</v>
      </c>
      <c r="G299" s="36" t="n">
        <f aca="false">G294*Premissas!$D$77*Premissas!$C$32*G297</f>
        <v>1394000</v>
      </c>
      <c r="H299" s="36" t="n">
        <f aca="false">H294*Premissas!$D$77*Premissas!$C$32*H297</f>
        <v>1428850</v>
      </c>
      <c r="I299" s="36" t="n">
        <f aca="false">I294*Premissas!$D$77*Premissas!$C$32*I297</f>
        <v>1464571.25</v>
      </c>
      <c r="J299" s="36" t="n">
        <f aca="false">J294*Premissas!$D$77*Premissas!$C$32*J297</f>
        <v>1501185.53125</v>
      </c>
      <c r="K299" s="36" t="n">
        <f aca="false">K294*Premissas!$D$77*Premissas!$C$32*K297</f>
        <v>1538715.16953125</v>
      </c>
      <c r="L299" s="36" t="n">
        <f aca="false">L294*Premissas!$D$77*Premissas!$C$32*L297</f>
        <v>1577183.04876953</v>
      </c>
      <c r="M299" s="36" t="n">
        <f aca="false">M294*Premissas!$D$77*Premissas!$C$32*M297</f>
        <v>1616612.62498877</v>
      </c>
      <c r="N299" s="36" t="n">
        <f aca="false">N294*Premissas!$D$77*Premissas!$C$32*N297</f>
        <v>1657027.94061349</v>
      </c>
      <c r="O299" s="36" t="n">
        <f aca="false">O294*Premissas!$D$77*Premissas!$C$32*O297</f>
        <v>1698453.63912882</v>
      </c>
      <c r="P299" s="3"/>
    </row>
    <row r="300" customFormat="false" ht="15" hidden="false" customHeight="false" outlineLevel="0" collapsed="false">
      <c r="A300" s="3"/>
      <c r="B300" s="4" t="s">
        <v>406</v>
      </c>
      <c r="C300" s="36" t="n">
        <f aca="false">C296*Premissas!$D$77*Premissas!$C$32*(1-Premissas!$B$12)*C297</f>
        <v>0</v>
      </c>
      <c r="D300" s="36" t="n">
        <f aca="false">D296*Premissas!$D$77*Premissas!$C$32*(1-Premissas!$B$12)*D297</f>
        <v>0</v>
      </c>
      <c r="E300" s="36" t="n">
        <f aca="false">E296*Premissas!$D$77*Premissas!$C$32*(1-Premissas!$B$12)*E297</f>
        <v>0</v>
      </c>
      <c r="F300" s="36" t="n">
        <f aca="false">F296*Premissas!$D$77*Premissas!$C$32*(1-Premissas!$B$12)*F297</f>
        <v>1459450</v>
      </c>
      <c r="G300" s="36" t="n">
        <f aca="false">G296*Premissas!$D$77*Premissas!$C$32*(1-Premissas!$B$12)*G297</f>
        <v>2073575</v>
      </c>
      <c r="H300" s="36" t="n">
        <f aca="false">H296*Premissas!$D$77*Premissas!$C$32*(1-Premissas!$B$12)*H297</f>
        <v>2125414.375</v>
      </c>
      <c r="I300" s="36" t="n">
        <f aca="false">I296*Premissas!$D$77*Premissas!$C$32*(1-Premissas!$B$12)*I297</f>
        <v>2178549.734375</v>
      </c>
      <c r="J300" s="36" t="n">
        <f aca="false">J296*Premissas!$D$77*Premissas!$C$32*(1-Premissas!$B$12)*J297</f>
        <v>2233013.47773437</v>
      </c>
      <c r="K300" s="36" t="n">
        <f aca="false">K296*Premissas!$D$77*Premissas!$C$32*(1-Premissas!$B$12)*K297</f>
        <v>2288838.81467773</v>
      </c>
      <c r="L300" s="36" t="n">
        <f aca="false">L296*Premissas!$D$77*Premissas!$C$32*(1-Premissas!$B$12)*L297</f>
        <v>2346059.78504468</v>
      </c>
      <c r="M300" s="36" t="n">
        <f aca="false">M296*Premissas!$D$77*Premissas!$C$32*(1-Premissas!$B$12)*M297</f>
        <v>2404711.27967079</v>
      </c>
      <c r="N300" s="36" t="n">
        <f aca="false">N296*Premissas!$D$77*Premissas!$C$32*(1-Premissas!$B$12)*N297</f>
        <v>2464829.06166256</v>
      </c>
      <c r="O300" s="36" t="n">
        <f aca="false">O296*Premissas!$D$77*Premissas!$C$32*(1-Premissas!$B$12)*O297</f>
        <v>2526449.78820413</v>
      </c>
      <c r="P300" s="3"/>
    </row>
    <row r="301" customFormat="false" ht="15" hidden="false" customHeight="false" outlineLevel="0" collapsed="false">
      <c r="A301" s="3"/>
      <c r="B301" s="4" t="s">
        <v>407</v>
      </c>
      <c r="C301" s="36" t="n">
        <f aca="false">C295*Premissas!$D$44*Premissas!$C$38*Premissas!$D$78*Premissas!$C$32*(1-Premissas!$B$12)*C297</f>
        <v>0</v>
      </c>
      <c r="D301" s="36" t="n">
        <f aca="false">D295*Premissas!$D$44*Premissas!$C$38*Premissas!$D$78*Premissas!$C$32*(1-Premissas!$B$12)*D297</f>
        <v>0</v>
      </c>
      <c r="E301" s="36" t="n">
        <f aca="false">E295*Premissas!$D$44*Premissas!$C$38*Premissas!$D$78*Premissas!$C$32*(1-Premissas!$B$12)*E297</f>
        <v>0</v>
      </c>
      <c r="F301" s="36" t="n">
        <f aca="false">F295*Premissas!$D$44*Premissas!$C$38*Premissas!$D$78*Premissas!$C$32*(1-Premissas!$B$12)*F297</f>
        <v>550800</v>
      </c>
      <c r="G301" s="36" t="n">
        <f aca="false">G295*Premissas!$D$44*Premissas!$C$38*Premissas!$D$78*Premissas!$C$32*(1-Premissas!$B$12)*G297</f>
        <v>564570</v>
      </c>
      <c r="H301" s="36" t="n">
        <f aca="false">H295*Premissas!$D$44*Premissas!$C$38*Premissas!$D$78*Premissas!$C$32*(1-Premissas!$B$12)*H297</f>
        <v>578684.25</v>
      </c>
      <c r="I301" s="36" t="n">
        <f aca="false">I295*Premissas!$D$44*Premissas!$C$38*Premissas!$D$78*Premissas!$C$32*(1-Premissas!$B$12)*I297</f>
        <v>593151.35625</v>
      </c>
      <c r="J301" s="36" t="n">
        <f aca="false">J295*Premissas!$D$44*Premissas!$C$38*Premissas!$D$78*Premissas!$C$32*(1-Premissas!$B$12)*J297</f>
        <v>607980.14015625</v>
      </c>
      <c r="K301" s="36" t="n">
        <f aca="false">K295*Premissas!$D$44*Premissas!$C$38*Premissas!$D$78*Premissas!$C$32*(1-Premissas!$B$12)*K297</f>
        <v>623179.643660156</v>
      </c>
      <c r="L301" s="36" t="n">
        <f aca="false">L295*Premissas!$D$44*Premissas!$C$38*Premissas!$D$78*Premissas!$C$32*(1-Premissas!$B$12)*L297</f>
        <v>638759.13475166</v>
      </c>
      <c r="M301" s="36" t="n">
        <f aca="false">M295*Premissas!$D$44*Premissas!$C$38*Premissas!$D$78*Premissas!$C$32*(1-Premissas!$B$12)*M297</f>
        <v>654728.113120451</v>
      </c>
      <c r="N301" s="36" t="n">
        <f aca="false">N295*Premissas!$D$44*Premissas!$C$38*Premissas!$D$78*Premissas!$C$32*(1-Premissas!$B$12)*N297</f>
        <v>671096.315948463</v>
      </c>
      <c r="O301" s="36" t="n">
        <f aca="false">O295*Premissas!$D$44*Premissas!$C$38*Premissas!$D$78*Premissas!$C$32*(1-Premissas!$B$12)*O297</f>
        <v>687873.723847174</v>
      </c>
      <c r="P301" s="3"/>
    </row>
    <row r="302" customFormat="false" ht="15" hidden="false" customHeight="false" outlineLevel="0" collapsed="false">
      <c r="A302" s="3"/>
      <c r="B302" s="4" t="s">
        <v>408</v>
      </c>
      <c r="C302" s="36" t="n">
        <f aca="false">C293*Premissas!$D$44*Premissas!$B$14*Premissas!$B$13*C297</f>
        <v>0</v>
      </c>
      <c r="D302" s="36" t="n">
        <f aca="false">D293*Premissas!$D$44*Premissas!$B$14*Premissas!$B$13*D297</f>
        <v>0</v>
      </c>
      <c r="E302" s="36" t="n">
        <f aca="false">E293*Premissas!$D$44*Premissas!$B$14*Premissas!$B$13*E297</f>
        <v>0</v>
      </c>
      <c r="F302" s="36" t="n">
        <f aca="false">F293*Premissas!$D$44*Premissas!$B$14*Premissas!$B$13*F297</f>
        <v>143208</v>
      </c>
      <c r="G302" s="36" t="n">
        <f aca="false">G293*Premissas!$D$44*Premissas!$B$14*Premissas!$B$13*G297</f>
        <v>172692</v>
      </c>
      <c r="H302" s="36" t="n">
        <f aca="false">H293*Premissas!$D$44*Premissas!$B$14*Premissas!$B$13*H297</f>
        <v>177009.3</v>
      </c>
      <c r="I302" s="36" t="n">
        <f aca="false">I293*Premissas!$D$44*Premissas!$B$14*Premissas!$B$13*I297</f>
        <v>181434.5325</v>
      </c>
      <c r="J302" s="36" t="n">
        <f aca="false">J293*Premissas!$D$44*Premissas!$B$14*Premissas!$B$13*J297</f>
        <v>185970.3958125</v>
      </c>
      <c r="K302" s="36" t="n">
        <f aca="false">K293*Premissas!$D$44*Premissas!$B$14*Premissas!$B$13*K297</f>
        <v>190619.655707812</v>
      </c>
      <c r="L302" s="36" t="n">
        <f aca="false">L293*Premissas!$D$44*Premissas!$B$14*Premissas!$B$13*L297</f>
        <v>195385.147100508</v>
      </c>
      <c r="M302" s="36" t="n">
        <f aca="false">M293*Premissas!$D$44*Premissas!$B$14*Premissas!$B$13*M297</f>
        <v>200269.77577802</v>
      </c>
      <c r="N302" s="36" t="n">
        <f aca="false">N293*Premissas!$D$44*Premissas!$B$14*Premissas!$B$13*N297</f>
        <v>205276.520172471</v>
      </c>
      <c r="O302" s="36" t="n">
        <f aca="false">O293*Premissas!$D$44*Premissas!$B$14*Premissas!$B$13*O297</f>
        <v>210408.433176783</v>
      </c>
      <c r="P302" s="3"/>
    </row>
    <row r="303" customFormat="false" ht="15" hidden="false" customHeight="false" outlineLevel="0" collapsed="false">
      <c r="A303" s="3"/>
      <c r="B303" s="14" t="s">
        <v>409</v>
      </c>
      <c r="C303" s="33" t="n">
        <f aca="false">SUM(C299:C302)</f>
        <v>0</v>
      </c>
      <c r="D303" s="33" t="n">
        <f aca="false">SUM(D299:D302)</f>
        <v>0</v>
      </c>
      <c r="E303" s="33" t="n">
        <f aca="false">SUM(E299:E302)</f>
        <v>0</v>
      </c>
      <c r="F303" s="33" t="n">
        <f aca="false">SUM(F299:F302)</f>
        <v>3513458</v>
      </c>
      <c r="G303" s="33" t="n">
        <f aca="false">SUM(G299:G302)</f>
        <v>4204837</v>
      </c>
      <c r="H303" s="33" t="n">
        <f aca="false">SUM(H299:H302)</f>
        <v>4309957.925</v>
      </c>
      <c r="I303" s="33" t="n">
        <f aca="false">SUM(I299:I302)</f>
        <v>4417706.873125</v>
      </c>
      <c r="J303" s="33" t="n">
        <f aca="false">SUM(J299:J302)</f>
        <v>4528149.54495312</v>
      </c>
      <c r="K303" s="33" t="n">
        <f aca="false">SUM(K299:K302)</f>
        <v>4641353.28357695</v>
      </c>
      <c r="L303" s="33" t="n">
        <f aca="false">SUM(L299:L302)</f>
        <v>4757387.11566637</v>
      </c>
      <c r="M303" s="33" t="n">
        <f aca="false">SUM(M299:M302)</f>
        <v>4876321.79355803</v>
      </c>
      <c r="N303" s="33" t="n">
        <f aca="false">SUM(N299:N302)</f>
        <v>4998229.83839698</v>
      </c>
      <c r="O303" s="33" t="n">
        <f aca="false">SUM(O299:O302)</f>
        <v>5123185.58435691</v>
      </c>
      <c r="P303" s="3"/>
    </row>
    <row r="304" customFormat="false" ht="15" hidden="false" customHeight="false" outlineLevel="0" collapsed="false">
      <c r="A304" s="3"/>
      <c r="B304" s="4" t="s">
        <v>410</v>
      </c>
      <c r="C304" s="36" t="n">
        <f aca="false">-C293*(Premissas!$D$70*Premissas!$C$34/Premissas!$B$6+Premissas!$D$75)*Premissas!$C$33*C298</f>
        <v>-0</v>
      </c>
      <c r="D304" s="36" t="n">
        <f aca="false">-D293*(Premissas!$D$70*Premissas!$C$34/Premissas!$B$6+Premissas!$D$75)*Premissas!$C$33*D298</f>
        <v>-0</v>
      </c>
      <c r="E304" s="36" t="n">
        <f aca="false">-E293*(Premissas!$D$70*Premissas!$C$34/Premissas!$B$6+Premissas!$D$75)*Premissas!$C$33*E298</f>
        <v>-0</v>
      </c>
      <c r="F304" s="36" t="n">
        <f aca="false">-F293*(Premissas!$D$70*Premissas!$C$34/Premissas!$B$6+Premissas!$D$75)*Premissas!$C$33*F298</f>
        <v>-847052.643478261</v>
      </c>
      <c r="G304" s="36" t="n">
        <f aca="false">-G293*(Premissas!$D$70*Premissas!$C$34/Premissas!$B$6+Premissas!$D$75)*Premissas!$C$33*G298</f>
        <v>-1026428.4973913</v>
      </c>
      <c r="H304" s="36" t="n">
        <f aca="false">-H293*(Premissas!$D$70*Premissas!$C$34/Premissas!$B$6+Premissas!$D$75)*Premissas!$C$33*H298</f>
        <v>-1057221.35231304</v>
      </c>
      <c r="I304" s="36" t="n">
        <f aca="false">-I293*(Premissas!$D$70*Premissas!$C$34/Premissas!$B$6+Premissas!$D$75)*Premissas!$C$33*I298</f>
        <v>-1088937.99288244</v>
      </c>
      <c r="J304" s="36" t="n">
        <f aca="false">-J293*(Premissas!$D$70*Premissas!$C$34/Premissas!$B$6+Premissas!$D$75)*Premissas!$C$33*J298</f>
        <v>-1121606.13266891</v>
      </c>
      <c r="K304" s="36" t="n">
        <f aca="false">-K293*(Premissas!$D$70*Premissas!$C$34/Premissas!$B$6+Premissas!$D$75)*Premissas!$C$33*K298</f>
        <v>-1155254.31664898</v>
      </c>
      <c r="L304" s="36" t="n">
        <f aca="false">-L293*(Premissas!$D$70*Premissas!$C$34/Premissas!$B$6+Premissas!$D$75)*Premissas!$C$33*L298</f>
        <v>-1189911.94614844</v>
      </c>
      <c r="M304" s="36" t="n">
        <f aca="false">-M293*(Premissas!$D$70*Premissas!$C$34/Premissas!$B$6+Premissas!$D$75)*Premissas!$C$33*M298</f>
        <v>-1225609.3045329</v>
      </c>
      <c r="N304" s="36" t="n">
        <f aca="false">-N293*(Premissas!$D$70*Premissas!$C$34/Premissas!$B$6+Premissas!$D$75)*Premissas!$C$33*N298</f>
        <v>-1262377.58366889</v>
      </c>
      <c r="O304" s="36" t="n">
        <f aca="false">-O293*(Premissas!$D$70*Premissas!$C$34/Premissas!$B$6+Premissas!$D$75)*Premissas!$C$33*O298</f>
        <v>-1300248.91117895</v>
      </c>
      <c r="P304" s="3"/>
    </row>
    <row r="305" customFormat="false" ht="15" hidden="false" customHeight="false" outlineLevel="0" collapsed="false">
      <c r="A305" s="3"/>
      <c r="B305" s="4" t="s">
        <v>411</v>
      </c>
      <c r="C305" s="36" t="n">
        <f aca="false">-IF(C$292&gt;=1,Premissas!$D$68*Premissas!$C$33*C298,0)</f>
        <v>-0</v>
      </c>
      <c r="D305" s="36" t="n">
        <f aca="false">-IF(D$292&gt;=1,Premissas!$D$68*Premissas!$C$33*D298,0)</f>
        <v>-0</v>
      </c>
      <c r="E305" s="36" t="n">
        <f aca="false">-IF(E$292&gt;=1,Premissas!$D$68*Premissas!$C$33*E298,0)</f>
        <v>-0</v>
      </c>
      <c r="F305" s="36" t="n">
        <f aca="false">-IF(F$292&gt;=1,Premissas!$D$68*Premissas!$C$33*F298,0)</f>
        <v>-2528986</v>
      </c>
      <c r="G305" s="36" t="n">
        <f aca="false">-IF(G$292&gt;=1,Premissas!$D$68*Premissas!$C$33*G298,0)</f>
        <v>-2604855.58</v>
      </c>
      <c r="H305" s="36" t="n">
        <f aca="false">-IF(H$292&gt;=1,Premissas!$D$68*Premissas!$C$33*H298,0)</f>
        <v>-2683001.2474</v>
      </c>
      <c r="I305" s="36" t="n">
        <f aca="false">-IF(I$292&gt;=1,Premissas!$D$68*Premissas!$C$33*I298,0)</f>
        <v>-2763491.284822</v>
      </c>
      <c r="J305" s="36" t="n">
        <f aca="false">-IF(J$292&gt;=1,Premissas!$D$68*Premissas!$C$33*J298,0)</f>
        <v>-2846396.02336666</v>
      </c>
      <c r="K305" s="36" t="n">
        <f aca="false">-IF(K$292&gt;=1,Premissas!$D$68*Premissas!$C$33*K298,0)</f>
        <v>-2931787.90406766</v>
      </c>
      <c r="L305" s="36" t="n">
        <f aca="false">-IF(L$292&gt;=1,Premissas!$D$68*Premissas!$C$33*L298,0)</f>
        <v>-3019741.54118969</v>
      </c>
      <c r="M305" s="36" t="n">
        <f aca="false">-IF(M$292&gt;=1,Premissas!$D$68*Premissas!$C$33*M298,0)</f>
        <v>-3110333.78742538</v>
      </c>
      <c r="N305" s="36" t="n">
        <f aca="false">-IF(N$292&gt;=1,Premissas!$D$68*Premissas!$C$33*N298,0)</f>
        <v>-3203643.80104814</v>
      </c>
      <c r="O305" s="36" t="n">
        <f aca="false">-IF(O$292&gt;=1,Premissas!$D$68*Premissas!$C$33*O298,0)</f>
        <v>-3299753.11507959</v>
      </c>
      <c r="P305" s="3"/>
    </row>
    <row r="306" customFormat="false" ht="15" hidden="false" customHeight="false" outlineLevel="0" collapsed="false">
      <c r="A306" s="3"/>
      <c r="B306" s="14" t="s">
        <v>412</v>
      </c>
      <c r="C306" s="33" t="n">
        <f aca="false">C303+C304+C305</f>
        <v>0</v>
      </c>
      <c r="D306" s="33" t="n">
        <f aca="false">D303+D304+D305</f>
        <v>0</v>
      </c>
      <c r="E306" s="33" t="n">
        <f aca="false">E303+E304+E305</f>
        <v>0</v>
      </c>
      <c r="F306" s="33" t="n">
        <f aca="false">F303+F304+F305</f>
        <v>137419.356521739</v>
      </c>
      <c r="G306" s="33" t="n">
        <f aca="false">G303+G304+G305</f>
        <v>573552.922608695</v>
      </c>
      <c r="H306" s="33" t="n">
        <f aca="false">H303+H304+H305</f>
        <v>569735.325286957</v>
      </c>
      <c r="I306" s="33" t="n">
        <f aca="false">I303+I304+I305</f>
        <v>565277.595420564</v>
      </c>
      <c r="J306" s="33" t="n">
        <f aca="false">J303+J304+J305</f>
        <v>560147.388917554</v>
      </c>
      <c r="K306" s="33" t="n">
        <f aca="false">K303+K304+K305</f>
        <v>554311.062860316</v>
      </c>
      <c r="L306" s="33" t="n">
        <f aca="false">L303+L304+L305</f>
        <v>547733.628328239</v>
      </c>
      <c r="M306" s="33" t="n">
        <f aca="false">M303+M304+M305</f>
        <v>540378.701599755</v>
      </c>
      <c r="N306" s="33" t="n">
        <f aca="false">N303+N304+N305</f>
        <v>532208.453679957</v>
      </c>
      <c r="O306" s="33" t="n">
        <f aca="false">O303+O304+O305</f>
        <v>523183.558098369</v>
      </c>
      <c r="P306" s="3"/>
    </row>
    <row r="307" customFormat="false" ht="15" hidden="false" customHeight="false" outlineLevel="0" collapsed="false">
      <c r="A307" s="3"/>
      <c r="B307" s="4" t="s">
        <v>413</v>
      </c>
      <c r="C307" s="42" t="n">
        <f aca="false">IF(C303=0,0,C306/C303)</f>
        <v>0</v>
      </c>
      <c r="D307" s="42" t="n">
        <f aca="false">IF(D303=0,0,D306/D303)</f>
        <v>0</v>
      </c>
      <c r="E307" s="42" t="n">
        <f aca="false">IF(E303=0,0,E306/E303)</f>
        <v>0</v>
      </c>
      <c r="F307" s="42" t="n">
        <f aca="false">IF(F303=0,0,F306/F303)</f>
        <v>0.0391122809840729</v>
      </c>
      <c r="G307" s="42" t="n">
        <f aca="false">IF(G303=0,0,G306/G303)</f>
        <v>0.136403128732147</v>
      </c>
      <c r="H307" s="42" t="n">
        <f aca="false">IF(H303=0,0,H306/H303)</f>
        <v>0.132190461067426</v>
      </c>
      <c r="I307" s="42" t="n">
        <f aca="false">IF(I303=0,0,I306/I303)</f>
        <v>0.12795724380434</v>
      </c>
      <c r="J307" s="42" t="n">
        <f aca="false">IF(J303=0,0,J306/J303)</f>
        <v>0.123703376700946</v>
      </c>
      <c r="K307" s="42" t="n">
        <f aca="false">IF(K303=0,0,K306/K303)</f>
        <v>0.119428759026317</v>
      </c>
      <c r="L307" s="42" t="n">
        <f aca="false">IF(L303=0,0,L306/L303)</f>
        <v>0.115133289558152</v>
      </c>
      <c r="M307" s="42" t="n">
        <f aca="false">IF(M303=0,0,M306/M303)</f>
        <v>0.110816866580387</v>
      </c>
      <c r="N307" s="42" t="n">
        <f aca="false">IF(N303=0,0,N306/N303)</f>
        <v>0.106479387880779</v>
      </c>
      <c r="O307" s="42" t="n">
        <f aca="false">IF(O303=0,0,O306/O303)</f>
        <v>0.10212075074849</v>
      </c>
      <c r="P307" s="3"/>
    </row>
    <row r="308" customFormat="false" ht="15" hidden="false" customHeight="false" outlineLevel="0" collapsed="false">
      <c r="A308" s="3"/>
      <c r="B308" s="4" t="s">
        <v>414</v>
      </c>
      <c r="C308" s="36" t="n">
        <f aca="false">-IF(C$292&gt;=1,Premissas!$D$52*(1-Premissas!$C$35)/10,0)</f>
        <v>-0</v>
      </c>
      <c r="D308" s="36" t="n">
        <f aca="false">-IF(D$292&gt;=1,Premissas!$D$52*(1-Premissas!$C$35)/10,0)</f>
        <v>-0</v>
      </c>
      <c r="E308" s="36" t="n">
        <f aca="false">-IF(E$292&gt;=1,Premissas!$D$52*(1-Premissas!$C$35)/10,0)</f>
        <v>-0</v>
      </c>
      <c r="F308" s="36" t="n">
        <f aca="false">-IF(F$292&gt;=1,Premissas!$D$52*(1-Premissas!$C$35)/10,0)</f>
        <v>-1437300</v>
      </c>
      <c r="G308" s="36" t="n">
        <f aca="false">-IF(G$292&gt;=1,Premissas!$D$52*(1-Premissas!$C$35)/10,0)</f>
        <v>-1437300</v>
      </c>
      <c r="H308" s="36" t="n">
        <f aca="false">-IF(H$292&gt;=1,Premissas!$D$52*(1-Premissas!$C$35)/10,0)</f>
        <v>-1437300</v>
      </c>
      <c r="I308" s="36" t="n">
        <f aca="false">-IF(I$292&gt;=1,Premissas!$D$52*(1-Premissas!$C$35)/10,0)</f>
        <v>-1437300</v>
      </c>
      <c r="J308" s="36" t="n">
        <f aca="false">-IF(J$292&gt;=1,Premissas!$D$52*(1-Premissas!$C$35)/10,0)</f>
        <v>-1437300</v>
      </c>
      <c r="K308" s="36" t="n">
        <f aca="false">-IF(K$292&gt;=1,Premissas!$D$52*(1-Premissas!$C$35)/10,0)</f>
        <v>-1437300</v>
      </c>
      <c r="L308" s="36" t="n">
        <f aca="false">-IF(L$292&gt;=1,Premissas!$D$52*(1-Premissas!$C$35)/10,0)</f>
        <v>-1437300</v>
      </c>
      <c r="M308" s="36" t="n">
        <f aca="false">-IF(M$292&gt;=1,Premissas!$D$52*(1-Premissas!$C$35)/10,0)</f>
        <v>-1437300</v>
      </c>
      <c r="N308" s="36" t="n">
        <f aca="false">-IF(N$292&gt;=1,Premissas!$D$52*(1-Premissas!$C$35)/10,0)</f>
        <v>-1437300</v>
      </c>
      <c r="O308" s="36" t="n">
        <f aca="false">-IF(O$292&gt;=1,Premissas!$D$52*(1-Premissas!$C$35)/10,0)</f>
        <v>-1437300</v>
      </c>
      <c r="P308" s="3"/>
    </row>
    <row r="309" customFormat="false" ht="15" hidden="false" customHeight="false" outlineLevel="0" collapsed="false">
      <c r="A309" s="3"/>
      <c r="B309" s="14" t="s">
        <v>415</v>
      </c>
      <c r="C309" s="40" t="n">
        <f aca="false">C306+C308</f>
        <v>0</v>
      </c>
      <c r="D309" s="40" t="n">
        <f aca="false">D306+D308</f>
        <v>0</v>
      </c>
      <c r="E309" s="40" t="n">
        <f aca="false">E306+E308</f>
        <v>0</v>
      </c>
      <c r="F309" s="40" t="n">
        <f aca="false">F306+F308</f>
        <v>-1299880.64347826</v>
      </c>
      <c r="G309" s="40" t="n">
        <f aca="false">G306+G308</f>
        <v>-863747.077391305</v>
      </c>
      <c r="H309" s="40" t="n">
        <f aca="false">H306+H308</f>
        <v>-867564.674713043</v>
      </c>
      <c r="I309" s="40" t="n">
        <f aca="false">I306+I308</f>
        <v>-872022.404579436</v>
      </c>
      <c r="J309" s="40" t="n">
        <f aca="false">J306+J308</f>
        <v>-877152.611082446</v>
      </c>
      <c r="K309" s="40" t="n">
        <f aca="false">K306+K308</f>
        <v>-882988.937139684</v>
      </c>
      <c r="L309" s="40" t="n">
        <f aca="false">L306+L308</f>
        <v>-889566.371671761</v>
      </c>
      <c r="M309" s="40" t="n">
        <f aca="false">M306+M308</f>
        <v>-896921.298400244</v>
      </c>
      <c r="N309" s="40" t="n">
        <f aca="false">N306+N308</f>
        <v>-905091.546320043</v>
      </c>
      <c r="O309" s="40" t="n">
        <f aca="false">O306+O308</f>
        <v>-914116.441901631</v>
      </c>
      <c r="P309" s="3"/>
    </row>
    <row r="310" customFormat="false" ht="15" hidden="false" customHeight="false" outlineLevel="0" collapsed="false">
      <c r="A310" s="3"/>
      <c r="B310" s="4" t="s">
        <v>416</v>
      </c>
      <c r="C310" s="36" t="n">
        <f aca="false">-MAX(0,C309)*Premissas!$B$11</f>
        <v>-0</v>
      </c>
      <c r="D310" s="36" t="n">
        <f aca="false">-MAX(0,D309)*Premissas!$B$11</f>
        <v>-0</v>
      </c>
      <c r="E310" s="36" t="n">
        <f aca="false">-MAX(0,E309)*Premissas!$B$11</f>
        <v>-0</v>
      </c>
      <c r="F310" s="36" t="n">
        <f aca="false">-MAX(0,F309)*Premissas!$B$11</f>
        <v>-0</v>
      </c>
      <c r="G310" s="36" t="n">
        <f aca="false">-MAX(0,G309)*Premissas!$B$11</f>
        <v>-0</v>
      </c>
      <c r="H310" s="36" t="n">
        <f aca="false">-MAX(0,H309)*Premissas!$B$11</f>
        <v>-0</v>
      </c>
      <c r="I310" s="36" t="n">
        <f aca="false">-MAX(0,I309)*Premissas!$B$11</f>
        <v>-0</v>
      </c>
      <c r="J310" s="36" t="n">
        <f aca="false">-MAX(0,J309)*Premissas!$B$11</f>
        <v>-0</v>
      </c>
      <c r="K310" s="36" t="n">
        <f aca="false">-MAX(0,K309)*Premissas!$B$11</f>
        <v>-0</v>
      </c>
      <c r="L310" s="36" t="n">
        <f aca="false">-MAX(0,L309)*Premissas!$B$11</f>
        <v>-0</v>
      </c>
      <c r="M310" s="36" t="n">
        <f aca="false">-MAX(0,M309)*Premissas!$B$11</f>
        <v>-0</v>
      </c>
      <c r="N310" s="36" t="n">
        <f aca="false">-MAX(0,N309)*Premissas!$B$11</f>
        <v>-0</v>
      </c>
      <c r="O310" s="36" t="n">
        <f aca="false">-MAX(0,O309)*Premissas!$B$11</f>
        <v>-0</v>
      </c>
      <c r="P310" s="3"/>
    </row>
    <row r="311" customFormat="false" ht="15" hidden="false" customHeight="false" outlineLevel="0" collapsed="false">
      <c r="A311" s="3"/>
      <c r="B311" s="4" t="s">
        <v>417</v>
      </c>
      <c r="C311" s="36" t="n">
        <f aca="false">-(IF(C$292=3,Premissas!$D$80,0)+IF(C$292=5,Premissas!$D$81,0)+IF(C$292=8,Premissas!$D$82,0)+IF(C$292=10,Premissas!$D$83,0))*C298</f>
        <v>-0</v>
      </c>
      <c r="D311" s="36" t="n">
        <f aca="false">-(IF(D$292=3,Premissas!$D$80,0)+IF(D$292=5,Premissas!$D$81,0)+IF(D$292=8,Premissas!$D$82,0)+IF(D$292=10,Premissas!$D$83,0))*D298</f>
        <v>-0</v>
      </c>
      <c r="E311" s="36" t="n">
        <f aca="false">-(IF(E$292=3,Premissas!$D$80,0)+IF(E$292=5,Premissas!$D$81,0)+IF(E$292=8,Premissas!$D$82,0)+IF(E$292=10,Premissas!$D$83,0))*E298</f>
        <v>-0</v>
      </c>
      <c r="F311" s="36" t="n">
        <f aca="false">-(IF(F$292=3,Premissas!$D$80,0)+IF(F$292=5,Premissas!$D$81,0)+IF(F$292=8,Premissas!$D$82,0)+IF(F$292=10,Premissas!$D$83,0))*F298</f>
        <v>-0</v>
      </c>
      <c r="G311" s="36" t="n">
        <f aca="false">-(IF(G$292=3,Premissas!$D$80,0)+IF(G$292=5,Premissas!$D$81,0)+IF(G$292=8,Premissas!$D$82,0)+IF(G$292=10,Premissas!$D$83,0))*G298</f>
        <v>-0</v>
      </c>
      <c r="H311" s="36" t="n">
        <f aca="false">-(IF(H$292=3,Premissas!$D$80,0)+IF(H$292=5,Premissas!$D$81,0)+IF(H$292=8,Premissas!$D$82,0)+IF(H$292=10,Premissas!$D$83,0))*H298</f>
        <v>-265225</v>
      </c>
      <c r="I311" s="36" t="n">
        <f aca="false">-(IF(I$292=3,Premissas!$D$80,0)+IF(I$292=5,Premissas!$D$81,0)+IF(I$292=8,Premissas!$D$82,0)+IF(I$292=10,Premissas!$D$83,0))*I298</f>
        <v>-0</v>
      </c>
      <c r="J311" s="36" t="n">
        <f aca="false">-(IF(J$292=3,Premissas!$D$80,0)+IF(J$292=5,Premissas!$D$81,0)+IF(J$292=8,Premissas!$D$82,0)+IF(J$292=10,Premissas!$D$83,0))*J298</f>
        <v>-675305.286</v>
      </c>
      <c r="K311" s="36" t="n">
        <f aca="false">-(IF(K$292=3,Premissas!$D$80,0)+IF(K$292=5,Premissas!$D$81,0)+IF(K$292=8,Premissas!$D$82,0)+IF(K$292=10,Premissas!$D$83,0))*K298</f>
        <v>-0</v>
      </c>
      <c r="L311" s="36" t="n">
        <f aca="false">-(IF(L$292=3,Premissas!$D$80,0)+IF(L$292=5,Premissas!$D$81,0)+IF(L$292=8,Premissas!$D$82,0)+IF(L$292=10,Premissas!$D$83,0))*L298</f>
        <v>-0</v>
      </c>
      <c r="M311" s="36" t="n">
        <f aca="false">-(IF(M$292=3,Premissas!$D$80,0)+IF(M$292=5,Premissas!$D$81,0)+IF(M$292=8,Premissas!$D$82,0)+IF(M$292=10,Premissas!$D$83,0))*M298</f>
        <v>-368962.159627461</v>
      </c>
      <c r="N311" s="36" t="n">
        <f aca="false">-(IF(N$292=3,Premissas!$D$80,0)+IF(N$292=5,Premissas!$D$81,0)+IF(N$292=8,Premissas!$D$82,0)+IF(N$292=10,Premissas!$D$83,0))*N298</f>
        <v>-0</v>
      </c>
      <c r="O311" s="36" t="n">
        <f aca="false">-(IF(O$292=3,Premissas!$D$80,0)+IF(O$292=5,Premissas!$D$81,0)+IF(O$292=8,Premissas!$D$82,0)+IF(O$292=10,Premissas!$D$83,0))*O298</f>
        <v>-913341.228680471</v>
      </c>
      <c r="P311" s="3"/>
    </row>
    <row r="312" customFormat="false" ht="15" hidden="false" customHeight="false" outlineLevel="0" collapsed="false">
      <c r="A312" s="3"/>
      <c r="B312" s="4" t="s">
        <v>418</v>
      </c>
      <c r="C312" s="36" t="n">
        <f aca="false">-IF(C$292&gt;=1,Premissas!$D$52*(Premissas!$D$84+IF(C$292=6,Premissas!$D$85,0))*C298,0)</f>
        <v>-0</v>
      </c>
      <c r="D312" s="36" t="n">
        <f aca="false">-IF(D$292&gt;=1,Premissas!$D$52*(Premissas!$D$84+IF(D$292=6,Premissas!$D$85,0))*D298,0)</f>
        <v>-0</v>
      </c>
      <c r="E312" s="36" t="n">
        <f aca="false">-IF(E$292&gt;=1,Premissas!$D$52*(Premissas!$D$84+IF(E$292=6,Premissas!$D$85,0))*E298,0)</f>
        <v>-0</v>
      </c>
      <c r="F312" s="36" t="n">
        <f aca="false">-IF(F$292&gt;=1,Premissas!$D$52*(Premissas!$D$84+IF(F$292=6,Premissas!$D$85,0))*F298,0)</f>
        <v>-159700</v>
      </c>
      <c r="G312" s="36" t="n">
        <f aca="false">-IF(G$292&gt;=1,Premissas!$D$52*(Premissas!$D$84+IF(G$292=6,Premissas!$D$85,0))*G298,0)</f>
        <v>-164491</v>
      </c>
      <c r="H312" s="36" t="n">
        <f aca="false">-IF(H$292&gt;=1,Premissas!$D$52*(Premissas!$D$84+IF(H$292=6,Premissas!$D$85,0))*H298,0)</f>
        <v>-169425.73</v>
      </c>
      <c r="I312" s="36" t="n">
        <f aca="false">-IF(I$292&gt;=1,Premissas!$D$52*(Premissas!$D$84+IF(I$292=6,Premissas!$D$85,0))*I298,0)</f>
        <v>-174508.5019</v>
      </c>
      <c r="J312" s="36" t="n">
        <f aca="false">-IF(J$292&gt;=1,Premissas!$D$52*(Premissas!$D$84+IF(J$292=6,Premissas!$D$85,0))*J298,0)</f>
        <v>-179743.756957</v>
      </c>
      <c r="K312" s="36" t="n">
        <f aca="false">-IF(K$292&gt;=1,Premissas!$D$52*(Premissas!$D$84+IF(K$292=6,Premissas!$D$85,0))*K298,0)</f>
        <v>-1666224.62699139</v>
      </c>
      <c r="L312" s="36" t="n">
        <f aca="false">-IF(L$292&gt;=1,Premissas!$D$52*(Premissas!$D$84+IF(L$292=6,Premissas!$D$85,0))*L298,0)</f>
        <v>-190690.151755681</v>
      </c>
      <c r="M312" s="36" t="n">
        <f aca="false">-IF(M$292&gt;=1,Premissas!$D$52*(Premissas!$D$84+IF(M$292=6,Premissas!$D$85,0))*M298,0)</f>
        <v>-196410.856308352</v>
      </c>
      <c r="N312" s="36" t="n">
        <f aca="false">-IF(N$292&gt;=1,Premissas!$D$52*(Premissas!$D$84+IF(N$292=6,Premissas!$D$85,0))*N298,0)</f>
        <v>-202303.181997602</v>
      </c>
      <c r="O312" s="36" t="n">
        <f aca="false">-IF(O$292&gt;=1,Premissas!$D$52*(Premissas!$D$84+IF(O$292=6,Premissas!$D$85,0))*O298,0)</f>
        <v>-208372.27745753</v>
      </c>
      <c r="P312" s="3"/>
    </row>
    <row r="313" customFormat="false" ht="15" hidden="false" customHeight="false" outlineLevel="0" collapsed="false">
      <c r="A313" s="3"/>
      <c r="B313" s="4" t="s">
        <v>419</v>
      </c>
      <c r="C313" s="36" t="n">
        <f aca="false">-Premissas!$D$52*Premissas!$D$53</f>
        <v>-6388000</v>
      </c>
      <c r="D313" s="36" t="n">
        <f aca="false">-Premissas!$D$52*Premissas!$D$54</f>
        <v>-6388000</v>
      </c>
      <c r="E313" s="36" t="n">
        <f aca="false">-Premissas!$D$52*Premissas!$D$55</f>
        <v>-19164000</v>
      </c>
      <c r="F313" s="36" t="n">
        <v>0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6" t="n">
        <v>0</v>
      </c>
      <c r="O313" s="36" t="n">
        <v>0</v>
      </c>
      <c r="P313" s="3"/>
    </row>
    <row r="314" customFormat="false" ht="15" hidden="false" customHeight="false" outlineLevel="0" collapsed="false">
      <c r="A314" s="3"/>
      <c r="B314" s="4" t="s">
        <v>420</v>
      </c>
      <c r="C314" s="36" t="n">
        <f aca="false">IF(C$292=10,Premissas!$D$52*Premissas!$C$35,0)</f>
        <v>0</v>
      </c>
      <c r="D314" s="36" t="n">
        <f aca="false">IF(D$292=10,Premissas!$D$52*Premissas!$C$35,0)</f>
        <v>0</v>
      </c>
      <c r="E314" s="36" t="n">
        <f aca="false">IF(E$292=10,Premissas!$D$52*Premissas!$C$35,0)</f>
        <v>0</v>
      </c>
      <c r="F314" s="36" t="n">
        <f aca="false">IF(F$292=10,Premissas!$D$52*Premissas!$C$35,0)</f>
        <v>0</v>
      </c>
      <c r="G314" s="36" t="n">
        <f aca="false">IF(G$292=10,Premissas!$D$52*Premissas!$C$35,0)</f>
        <v>0</v>
      </c>
      <c r="H314" s="36" t="n">
        <f aca="false">IF(H$292=10,Premissas!$D$52*Premissas!$C$35,0)</f>
        <v>0</v>
      </c>
      <c r="I314" s="36" t="n">
        <f aca="false">IF(I$292=10,Premissas!$D$52*Premissas!$C$35,0)</f>
        <v>0</v>
      </c>
      <c r="J314" s="36" t="n">
        <f aca="false">IF(J$292=10,Premissas!$D$52*Premissas!$C$35,0)</f>
        <v>0</v>
      </c>
      <c r="K314" s="36" t="n">
        <f aca="false">IF(K$292=10,Premissas!$D$52*Premissas!$C$35,0)</f>
        <v>0</v>
      </c>
      <c r="L314" s="36" t="n">
        <f aca="false">IF(L$292=10,Premissas!$D$52*Premissas!$C$35,0)</f>
        <v>0</v>
      </c>
      <c r="M314" s="36" t="n">
        <f aca="false">IF(M$292=10,Premissas!$D$52*Premissas!$C$35,0)</f>
        <v>0</v>
      </c>
      <c r="N314" s="36" t="n">
        <f aca="false">IF(N$292=10,Premissas!$D$52*Premissas!$C$35,0)</f>
        <v>0</v>
      </c>
      <c r="O314" s="36" t="n">
        <f aca="false">IF(O$292=10,Premissas!$D$52*Premissas!$C$35,0)</f>
        <v>17567000</v>
      </c>
      <c r="P314" s="3"/>
    </row>
    <row r="315" customFormat="false" ht="15" hidden="false" customHeight="false" outlineLevel="0" collapsed="false">
      <c r="A315" s="3"/>
      <c r="B315" s="14" t="s">
        <v>421</v>
      </c>
      <c r="C315" s="33" t="n">
        <f aca="false">C306+C310+C311+C312+C313+C314</f>
        <v>-6388000</v>
      </c>
      <c r="D315" s="33" t="n">
        <f aca="false">D306+D310+D311+D312+D313+D314</f>
        <v>-6388000</v>
      </c>
      <c r="E315" s="33" t="n">
        <f aca="false">E306+E310+E311+E312+E313+E314</f>
        <v>-19164000</v>
      </c>
      <c r="F315" s="33" t="n">
        <f aca="false">F306+F310+F311+F312+F313+F314</f>
        <v>-22280.6434782613</v>
      </c>
      <c r="G315" s="33" t="n">
        <f aca="false">G306+G310+G311+G312+G313+G314</f>
        <v>409061.922608695</v>
      </c>
      <c r="H315" s="33" t="n">
        <f aca="false">H306+H310+H311+H312+H313+H314</f>
        <v>135084.595286957</v>
      </c>
      <c r="I315" s="33" t="n">
        <f aca="false">I306+I310+I311+I312+I313+I314</f>
        <v>390769.093520564</v>
      </c>
      <c r="J315" s="33" t="n">
        <f aca="false">J306+J310+J311+J312+J313+J314</f>
        <v>-294901.654039446</v>
      </c>
      <c r="K315" s="33" t="n">
        <f aca="false">K306+K310+K311+K312+K313+K314</f>
        <v>-1111913.56413107</v>
      </c>
      <c r="L315" s="33" t="n">
        <f aca="false">L306+L310+L311+L312+L313+L314</f>
        <v>357043.476572557</v>
      </c>
      <c r="M315" s="33" t="n">
        <f aca="false">M306+M310+M311+M312+M313+M314</f>
        <v>-24994.3143360575</v>
      </c>
      <c r="N315" s="33" t="n">
        <f aca="false">N306+N310+N311+N312+N313+N314</f>
        <v>329905.271682355</v>
      </c>
      <c r="O315" s="33" t="n">
        <f aca="false">O306+O310+O311+O312+O313+O314</f>
        <v>16968470.0519604</v>
      </c>
      <c r="P315" s="3"/>
    </row>
    <row r="316" customFormat="false" ht="15" hidden="false" customHeight="false" outlineLevel="0" collapsed="false">
      <c r="A316" s="3"/>
      <c r="B316" s="4" t="s">
        <v>422</v>
      </c>
      <c r="C316" s="36" t="n">
        <f aca="false">C315-C314</f>
        <v>-6388000</v>
      </c>
      <c r="D316" s="36" t="n">
        <f aca="false">C316+D315-D314</f>
        <v>-12776000</v>
      </c>
      <c r="E316" s="36" t="n">
        <f aca="false">D316+E315-E314</f>
        <v>-31940000</v>
      </c>
      <c r="F316" s="36" t="n">
        <f aca="false">E316+F315-F314</f>
        <v>-31962280.6434783</v>
      </c>
      <c r="G316" s="36" t="n">
        <f aca="false">F316+G315-G314</f>
        <v>-31553218.7208696</v>
      </c>
      <c r="H316" s="36" t="n">
        <f aca="false">G316+H315-H314</f>
        <v>-31418134.1255826</v>
      </c>
      <c r="I316" s="36" t="n">
        <f aca="false">H316+I315-I314</f>
        <v>-31027365.032062</v>
      </c>
      <c r="J316" s="36" t="n">
        <f aca="false">I316+J315-J314</f>
        <v>-31322266.6861015</v>
      </c>
      <c r="K316" s="36" t="n">
        <f aca="false">J316+K315-K314</f>
        <v>-32434180.2502326</v>
      </c>
      <c r="L316" s="36" t="n">
        <f aca="false">K316+L315-L314</f>
        <v>-32077136.77366</v>
      </c>
      <c r="M316" s="36" t="n">
        <f aca="false">L316+M315-M314</f>
        <v>-32102131.0879961</v>
      </c>
      <c r="N316" s="36" t="n">
        <f aca="false">M316+N315-N314</f>
        <v>-31772225.8163137</v>
      </c>
      <c r="O316" s="36" t="n">
        <f aca="false">N316+O315-O314</f>
        <v>-32370755.7643533</v>
      </c>
      <c r="P316" s="3"/>
    </row>
    <row r="317" customFormat="false" ht="15" hidden="false" customHeight="false" outlineLevel="0" collapsed="false">
      <c r="A317" s="3"/>
      <c r="B317" s="6" t="s">
        <v>423</v>
      </c>
      <c r="C317" s="46" t="n">
        <v>0</v>
      </c>
      <c r="D317" s="46" t="n">
        <v>0</v>
      </c>
      <c r="E317" s="46" t="n">
        <v>0</v>
      </c>
      <c r="F317" s="46" t="n">
        <f aca="false">IF(AND(E316&lt;0,F316&gt;=0),F$292-1+(-E316)/(F315-F314),0)</f>
        <v>0</v>
      </c>
      <c r="G317" s="46" t="n">
        <f aca="false">IF(AND(F316&lt;0,G316&gt;=0),G$292-1+(-F316)/(G315-G314),0)</f>
        <v>0</v>
      </c>
      <c r="H317" s="46" t="n">
        <f aca="false">IF(AND(G316&lt;0,H316&gt;=0),H$292-1+(-G316)/(H315-H314),0)</f>
        <v>0</v>
      </c>
      <c r="I317" s="46" t="n">
        <f aca="false">IF(AND(H316&lt;0,I316&gt;=0),I$292-1+(-H316)/(I315-I314),0)</f>
        <v>0</v>
      </c>
      <c r="J317" s="46" t="n">
        <f aca="false">IF(AND(I316&lt;0,J316&gt;=0),J$292-1+(-I316)/(J315-J314),0)</f>
        <v>0</v>
      </c>
      <c r="K317" s="46" t="n">
        <f aca="false">IF(AND(J316&lt;0,K316&gt;=0),K$292-1+(-J316)/(K315-K314),0)</f>
        <v>0</v>
      </c>
      <c r="L317" s="46" t="n">
        <f aca="false">IF(AND(K316&lt;0,L316&gt;=0),L$292-1+(-K316)/(L315-L314),0)</f>
        <v>0</v>
      </c>
      <c r="M317" s="46" t="n">
        <f aca="false">IF(AND(L316&lt;0,M316&gt;=0),M$292-1+(-L316)/(M315-M314),0)</f>
        <v>0</v>
      </c>
      <c r="N317" s="46" t="n">
        <f aca="false">IF(AND(M316&lt;0,N316&gt;=0),N$292-1+(-M316)/(N315-N314),0)</f>
        <v>0</v>
      </c>
      <c r="O317" s="46" t="n">
        <f aca="false">IF(AND(N316&lt;0,O316&gt;=0),O$292-1+(-N316)/(O315-O314),0)</f>
        <v>0</v>
      </c>
      <c r="P317" s="3"/>
    </row>
    <row r="318" customFormat="false" ht="15" hidden="false" customHeight="false" outlineLevel="0" collapsed="false">
      <c r="A318" s="3"/>
      <c r="B318" s="14" t="s">
        <v>424</v>
      </c>
      <c r="C318" s="47" t="n">
        <f aca="false">IFERROR(IRR(C315:O315,0.05),IFERROR(IRR(C315:O315,-0.05),IF(SUM(C315:O315)&lt;0,"negativa","n/d")))</f>
        <v>-0.0575231750744738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customFormat="false" ht="15" hidden="false" customHeight="false" outlineLevel="0" collapsed="false">
      <c r="A319" s="3"/>
      <c r="B319" s="14" t="s">
        <v>425</v>
      </c>
      <c r="C319" s="48" t="n">
        <f aca="false">C315*(1+Premissas!$B$10)^2+D315*(1+Premissas!$B$10)+E315+NPV(Premissas!$B$10,F315:O315)</f>
        <v>-27191281.2389032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customFormat="false" ht="15" hidden="false" customHeight="false" outlineLevel="0" collapsed="false">
      <c r="A320" s="3"/>
      <c r="B320" s="14" t="s">
        <v>426</v>
      </c>
      <c r="C320" s="49" t="str">
        <f aca="false">IF(SUM(F317:O317)=0,"&gt; 10",SUM(F317:O317))</f>
        <v>&gt; 10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customFormat="false" ht="15" hidden="false" customHeight="false" outlineLevel="0" collapsed="false">
      <c r="A321" s="3"/>
      <c r="B321" s="14" t="s">
        <v>427</v>
      </c>
      <c r="C321" s="47" t="n">
        <f aca="false">SUM(C315:O315)/-SUM(C313:E313)</f>
        <v>-0.463486404644751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customFormat="false" ht="15" hidden="false" customHeight="false" outlineLevel="0" collapsed="false">
      <c r="A322" s="3"/>
      <c r="B322" s="14" t="s">
        <v>428</v>
      </c>
      <c r="C322" s="47" t="n">
        <f aca="false">AVERAGE(F309:O309)*(1-Premissas!$B$11)/-SUM(C313:E313)</f>
        <v>-0.0191533322617639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customFormat="false" ht="15" hidden="false" customHeight="false" outlineLevel="0" collapsed="false">
      <c r="A323" s="3"/>
      <c r="B323" s="14" t="s">
        <v>429</v>
      </c>
      <c r="C323" s="48" t="n">
        <f aca="false">H306</f>
        <v>569735.325286957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customFormat="false" ht="15" hidden="false" customHeight="false" outlineLevel="0" collapsed="false">
      <c r="A324" s="3"/>
      <c r="B324" s="14" t="s">
        <v>430</v>
      </c>
      <c r="C324" s="48" t="n">
        <f aca="false">H303</f>
        <v>4309957.925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customFormat="false" ht="15" hidden="false" customHeight="false" outlineLevel="0" collapsed="false">
      <c r="A325" s="3"/>
      <c r="B325" s="14" t="s">
        <v>431</v>
      </c>
      <c r="C325" s="47" t="n">
        <f aca="false">H307</f>
        <v>0.132190461067426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customFormat="false" ht="15" hidden="false" customHeight="false" outlineLevel="0" collapsed="false">
      <c r="A326" s="3"/>
      <c r="B326" s="14" t="s">
        <v>432</v>
      </c>
      <c r="C326" s="48" t="n">
        <f aca="false">-(H304+H305)</f>
        <v>3740222.59971304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customFormat="false" ht="15" hidden="false" customHeight="false" outlineLevel="0" collapsed="false">
      <c r="A327" s="3"/>
      <c r="B327" s="14" t="s">
        <v>433</v>
      </c>
      <c r="C327" s="50" t="n">
        <f aca="false">IFERROR(-H305/((H303+H304)/H293),"n/d")</f>
        <v>21.4459520079659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customFormat="false" ht="15" hidden="false" customHeight="false" outlineLevel="0" collapsed="false">
      <c r="A328" s="3"/>
      <c r="B328" s="14" t="s">
        <v>434</v>
      </c>
      <c r="C328" s="48" t="n">
        <f aca="false">-SUM(C313:E313)</f>
        <v>31940000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customFormat="false" ht="15" hidden="false" customHeight="false" outlineLevel="0" collapsed="false">
      <c r="A329" s="3"/>
      <c r="B329" s="14" t="s">
        <v>435</v>
      </c>
      <c r="C329" s="48" t="n">
        <f aca="false">O314</f>
        <v>17567000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customFormat="false" ht="15" hidden="false" customHeight="false" outlineLevel="0" collapsed="false">
      <c r="A332" s="3"/>
      <c r="B332" s="19" t="s">
        <v>443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customFormat="false" ht="15" hidden="false" customHeight="false" outlineLevel="0" collapsed="false">
      <c r="A333" s="3"/>
      <c r="B333" s="14" t="s">
        <v>398</v>
      </c>
      <c r="C333" s="44" t="n">
        <v>-2</v>
      </c>
      <c r="D333" s="44" t="n">
        <v>-1</v>
      </c>
      <c r="E333" s="44" t="n">
        <v>0</v>
      </c>
      <c r="F333" s="44" t="n">
        <v>1</v>
      </c>
      <c r="G333" s="44" t="n">
        <v>2</v>
      </c>
      <c r="H333" s="44" t="n">
        <v>3</v>
      </c>
      <c r="I333" s="44" t="n">
        <v>4</v>
      </c>
      <c r="J333" s="44" t="n">
        <v>5</v>
      </c>
      <c r="K333" s="44" t="n">
        <v>6</v>
      </c>
      <c r="L333" s="44" t="n">
        <v>7</v>
      </c>
      <c r="M333" s="44" t="n">
        <v>8</v>
      </c>
      <c r="N333" s="44" t="n">
        <v>9</v>
      </c>
      <c r="O333" s="44" t="n">
        <v>10</v>
      </c>
      <c r="P333" s="3"/>
    </row>
    <row r="334" customFormat="false" ht="15" hidden="false" customHeight="false" outlineLevel="0" collapsed="false">
      <c r="A334" s="3"/>
      <c r="B334" s="4" t="s">
        <v>399</v>
      </c>
      <c r="C334" s="39" t="n">
        <f aca="false">IF(C$333&gt;=1,Premissas!$D$29*IF(C$333=1,Premissas!$D$37,1),0)</f>
        <v>0</v>
      </c>
      <c r="D334" s="39" t="n">
        <f aca="false">IF(D$333&gt;=1,Premissas!$D$29*IF(D$333=1,Premissas!$D$37,1),0)</f>
        <v>0</v>
      </c>
      <c r="E334" s="39" t="n">
        <f aca="false">IF(E$333&gt;=1,Premissas!$D$29*IF(E$333=1,Premissas!$D$37,1),0)</f>
        <v>0</v>
      </c>
      <c r="F334" s="39" t="n">
        <f aca="false">IF(F$333&gt;=1,Premissas!$D$29*IF(F$333=1,Premissas!$D$37,1),0)</f>
        <v>28.5</v>
      </c>
      <c r="G334" s="39" t="n">
        <f aca="false">IF(G$333&gt;=1,Premissas!$D$29*IF(G$333=1,Premissas!$D$37,1),0)</f>
        <v>30</v>
      </c>
      <c r="H334" s="39" t="n">
        <f aca="false">IF(H$333&gt;=1,Premissas!$D$29*IF(H$333=1,Premissas!$D$37,1),0)</f>
        <v>30</v>
      </c>
      <c r="I334" s="39" t="n">
        <f aca="false">IF(I$333&gt;=1,Premissas!$D$29*IF(I$333=1,Premissas!$D$37,1),0)</f>
        <v>30</v>
      </c>
      <c r="J334" s="39" t="n">
        <f aca="false">IF(J$333&gt;=1,Premissas!$D$29*IF(J$333=1,Premissas!$D$37,1),0)</f>
        <v>30</v>
      </c>
      <c r="K334" s="39" t="n">
        <f aca="false">IF(K$333&gt;=1,Premissas!$D$29*IF(K$333=1,Premissas!$D$37,1),0)</f>
        <v>30</v>
      </c>
      <c r="L334" s="39" t="n">
        <f aca="false">IF(L$333&gt;=1,Premissas!$D$29*IF(L$333=1,Premissas!$D$37,1),0)</f>
        <v>30</v>
      </c>
      <c r="M334" s="39" t="n">
        <f aca="false">IF(M$333&gt;=1,Premissas!$D$29*IF(M$333=1,Premissas!$D$37,1),0)</f>
        <v>30</v>
      </c>
      <c r="N334" s="39" t="n">
        <f aca="false">IF(N$333&gt;=1,Premissas!$D$29*IF(N$333=1,Premissas!$D$37,1),0)</f>
        <v>30</v>
      </c>
      <c r="O334" s="39" t="n">
        <f aca="false">IF(O$333&gt;=1,Premissas!$D$29*IF(O$333=1,Premissas!$D$37,1),0)</f>
        <v>30</v>
      </c>
      <c r="P334" s="3"/>
    </row>
    <row r="335" customFormat="false" ht="15" hidden="false" customHeight="false" outlineLevel="0" collapsed="false">
      <c r="A335" s="3"/>
      <c r="B335" s="4" t="s">
        <v>400</v>
      </c>
      <c r="C335" s="39" t="n">
        <f aca="false">MIN(C334,Premissas!$D$30)</f>
        <v>0</v>
      </c>
      <c r="D335" s="39" t="n">
        <f aca="false">MIN(D334,Premissas!$D$30)</f>
        <v>0</v>
      </c>
      <c r="E335" s="39" t="n">
        <f aca="false">MIN(E334,Premissas!$D$30)</f>
        <v>0</v>
      </c>
      <c r="F335" s="39" t="n">
        <f aca="false">MIN(F334,Premissas!$D$30)</f>
        <v>12</v>
      </c>
      <c r="G335" s="39" t="n">
        <f aca="false">MIN(G334,Premissas!$D$30)</f>
        <v>12</v>
      </c>
      <c r="H335" s="39" t="n">
        <f aca="false">MIN(H334,Premissas!$D$30)</f>
        <v>12</v>
      </c>
      <c r="I335" s="39" t="n">
        <f aca="false">MIN(I334,Premissas!$D$30)</f>
        <v>12</v>
      </c>
      <c r="J335" s="39" t="n">
        <f aca="false">MIN(J334,Premissas!$D$30)</f>
        <v>12</v>
      </c>
      <c r="K335" s="39" t="n">
        <f aca="false">MIN(K334,Premissas!$D$30)</f>
        <v>12</v>
      </c>
      <c r="L335" s="39" t="n">
        <f aca="false">MIN(L334,Premissas!$D$30)</f>
        <v>12</v>
      </c>
      <c r="M335" s="39" t="n">
        <f aca="false">MIN(M334,Premissas!$D$30)</f>
        <v>12</v>
      </c>
      <c r="N335" s="39" t="n">
        <f aca="false">MIN(N334,Premissas!$D$30)</f>
        <v>12</v>
      </c>
      <c r="O335" s="39" t="n">
        <f aca="false">MIN(O334,Premissas!$D$30)</f>
        <v>12</v>
      </c>
      <c r="P335" s="3"/>
    </row>
    <row r="336" customFormat="false" ht="15" hidden="false" customHeight="false" outlineLevel="0" collapsed="false">
      <c r="A336" s="3"/>
      <c r="B336" s="4" t="s">
        <v>401</v>
      </c>
      <c r="C336" s="39" t="n">
        <f aca="false">MIN(C334-C335,Premissas!$D$31)</f>
        <v>0</v>
      </c>
      <c r="D336" s="39" t="n">
        <f aca="false">MIN(D334-D335,Premissas!$D$31)</f>
        <v>0</v>
      </c>
      <c r="E336" s="39" t="n">
        <f aca="false">MIN(E334-E335,Premissas!$D$31)</f>
        <v>0</v>
      </c>
      <c r="F336" s="39" t="n">
        <f aca="false">MIN(F334-F335,Premissas!$D$31)</f>
        <v>4</v>
      </c>
      <c r="G336" s="39" t="n">
        <f aca="false">MIN(G334-G335,Premissas!$D$31)</f>
        <v>4</v>
      </c>
      <c r="H336" s="39" t="n">
        <f aca="false">MIN(H334-H335,Premissas!$D$31)</f>
        <v>4</v>
      </c>
      <c r="I336" s="39" t="n">
        <f aca="false">MIN(I334-I335,Premissas!$D$31)</f>
        <v>4</v>
      </c>
      <c r="J336" s="39" t="n">
        <f aca="false">MIN(J334-J335,Premissas!$D$31)</f>
        <v>4</v>
      </c>
      <c r="K336" s="39" t="n">
        <f aca="false">MIN(K334-K335,Premissas!$D$31)</f>
        <v>4</v>
      </c>
      <c r="L336" s="39" t="n">
        <f aca="false">MIN(L334-L335,Premissas!$D$31)</f>
        <v>4</v>
      </c>
      <c r="M336" s="39" t="n">
        <f aca="false">MIN(M334-M335,Premissas!$D$31)</f>
        <v>4</v>
      </c>
      <c r="N336" s="39" t="n">
        <f aca="false">MIN(N334-N335,Premissas!$D$31)</f>
        <v>4</v>
      </c>
      <c r="O336" s="39" t="n">
        <f aca="false">MIN(O334-O335,Premissas!$D$31)</f>
        <v>4</v>
      </c>
      <c r="P336" s="3"/>
    </row>
    <row r="337" customFormat="false" ht="15" hidden="false" customHeight="false" outlineLevel="0" collapsed="false">
      <c r="A337" s="3"/>
      <c r="B337" s="4" t="s">
        <v>402</v>
      </c>
      <c r="C337" s="39" t="n">
        <f aca="false">C334-C335-C336</f>
        <v>0</v>
      </c>
      <c r="D337" s="39" t="n">
        <f aca="false">D334-D335-D336</f>
        <v>0</v>
      </c>
      <c r="E337" s="39" t="n">
        <f aca="false">E334-E335-E336</f>
        <v>0</v>
      </c>
      <c r="F337" s="39" t="n">
        <f aca="false">F334-F335-F336</f>
        <v>12.5</v>
      </c>
      <c r="G337" s="39" t="n">
        <f aca="false">G334-G335-G336</f>
        <v>14</v>
      </c>
      <c r="H337" s="39" t="n">
        <f aca="false">H334-H335-H336</f>
        <v>14</v>
      </c>
      <c r="I337" s="39" t="n">
        <f aca="false">I334-I335-I336</f>
        <v>14</v>
      </c>
      <c r="J337" s="39" t="n">
        <f aca="false">J334-J335-J336</f>
        <v>14</v>
      </c>
      <c r="K337" s="39" t="n">
        <f aca="false">K334-K335-K336</f>
        <v>14</v>
      </c>
      <c r="L337" s="39" t="n">
        <f aca="false">L334-L335-L336</f>
        <v>14</v>
      </c>
      <c r="M337" s="39" t="n">
        <f aca="false">M334-M335-M336</f>
        <v>14</v>
      </c>
      <c r="N337" s="39" t="n">
        <f aca="false">N334-N335-N336</f>
        <v>14</v>
      </c>
      <c r="O337" s="39" t="n">
        <f aca="false">O334-O335-O336</f>
        <v>14</v>
      </c>
      <c r="P337" s="3"/>
    </row>
    <row r="338" customFormat="false" ht="15" hidden="false" customHeight="false" outlineLevel="0" collapsed="false">
      <c r="A338" s="3"/>
      <c r="B338" s="4" t="s">
        <v>403</v>
      </c>
      <c r="C338" s="45" t="n">
        <f aca="false">IF(C$333&gt;=1,(1+Premissas!$B$8)^(C$333-1),0)</f>
        <v>0</v>
      </c>
      <c r="D338" s="45" t="n">
        <f aca="false">IF(D$333&gt;=1,(1+Premissas!$B$8)^(D$333-1),0)</f>
        <v>0</v>
      </c>
      <c r="E338" s="45" t="n">
        <f aca="false">IF(E$333&gt;=1,(1+Premissas!$B$8)^(E$333-1),0)</f>
        <v>0</v>
      </c>
      <c r="F338" s="45" t="n">
        <f aca="false">IF(F$333&gt;=1,(1+Premissas!$B$8)^(F$333-1),0)</f>
        <v>1</v>
      </c>
      <c r="G338" s="45" t="n">
        <f aca="false">IF(G$333&gt;=1,(1+Premissas!$B$8)^(G$333-1),0)</f>
        <v>1.025</v>
      </c>
      <c r="H338" s="45" t="n">
        <f aca="false">IF(H$333&gt;=1,(1+Premissas!$B$8)^(H$333-1),0)</f>
        <v>1.050625</v>
      </c>
      <c r="I338" s="45" t="n">
        <f aca="false">IF(I$333&gt;=1,(1+Premissas!$B$8)^(I$333-1),0)</f>
        <v>1.076890625</v>
      </c>
      <c r="J338" s="45" t="n">
        <f aca="false">IF(J$333&gt;=1,(1+Premissas!$B$8)^(J$333-1),0)</f>
        <v>1.103812890625</v>
      </c>
      <c r="K338" s="45" t="n">
        <f aca="false">IF(K$333&gt;=1,(1+Premissas!$B$8)^(K$333-1),0)</f>
        <v>1.13140821289062</v>
      </c>
      <c r="L338" s="45" t="n">
        <f aca="false">IF(L$333&gt;=1,(1+Premissas!$B$8)^(L$333-1),0)</f>
        <v>1.15969341821289</v>
      </c>
      <c r="M338" s="45" t="n">
        <f aca="false">IF(M$333&gt;=1,(1+Premissas!$B$8)^(M$333-1),0)</f>
        <v>1.18868575366821</v>
      </c>
      <c r="N338" s="45" t="n">
        <f aca="false">IF(N$333&gt;=1,(1+Premissas!$B$8)^(N$333-1),0)</f>
        <v>1.21840289750992</v>
      </c>
      <c r="O338" s="45" t="n">
        <f aca="false">IF(O$333&gt;=1,(1+Premissas!$B$8)^(O$333-1),0)</f>
        <v>1.24886296994767</v>
      </c>
      <c r="P338" s="3"/>
    </row>
    <row r="339" customFormat="false" ht="15" hidden="false" customHeight="false" outlineLevel="0" collapsed="false">
      <c r="A339" s="3"/>
      <c r="B339" s="4" t="s">
        <v>404</v>
      </c>
      <c r="C339" s="45" t="n">
        <f aca="false">IF(C$333&gt;=1,(1+Premissas!$B$9)^(C$333-1),0)</f>
        <v>0</v>
      </c>
      <c r="D339" s="45" t="n">
        <f aca="false">IF(D$333&gt;=1,(1+Premissas!$B$9)^(D$333-1),0)</f>
        <v>0</v>
      </c>
      <c r="E339" s="45" t="n">
        <f aca="false">IF(E$333&gt;=1,(1+Premissas!$B$9)^(E$333-1),0)</f>
        <v>0</v>
      </c>
      <c r="F339" s="45" t="n">
        <f aca="false">IF(F$333&gt;=1,(1+Premissas!$B$9)^(F$333-1),0)</f>
        <v>1</v>
      </c>
      <c r="G339" s="45" t="n">
        <f aca="false">IF(G$333&gt;=1,(1+Premissas!$B$9)^(G$333-1),0)</f>
        <v>1.03</v>
      </c>
      <c r="H339" s="45" t="n">
        <f aca="false">IF(H$333&gt;=1,(1+Premissas!$B$9)^(H$333-1),0)</f>
        <v>1.0609</v>
      </c>
      <c r="I339" s="45" t="n">
        <f aca="false">IF(I$333&gt;=1,(1+Premissas!$B$9)^(I$333-1),0)</f>
        <v>1.092727</v>
      </c>
      <c r="J339" s="45" t="n">
        <f aca="false">IF(J$333&gt;=1,(1+Premissas!$B$9)^(J$333-1),0)</f>
        <v>1.12550881</v>
      </c>
      <c r="K339" s="45" t="n">
        <f aca="false">IF(K$333&gt;=1,(1+Premissas!$B$9)^(K$333-1),0)</f>
        <v>1.1592740743</v>
      </c>
      <c r="L339" s="45" t="n">
        <f aca="false">IF(L$333&gt;=1,(1+Premissas!$B$9)^(L$333-1),0)</f>
        <v>1.194052296529</v>
      </c>
      <c r="M339" s="45" t="n">
        <f aca="false">IF(M$333&gt;=1,(1+Premissas!$B$9)^(M$333-1),0)</f>
        <v>1.22987386542487</v>
      </c>
      <c r="N339" s="45" t="n">
        <f aca="false">IF(N$333&gt;=1,(1+Premissas!$B$9)^(N$333-1),0)</f>
        <v>1.26677008138762</v>
      </c>
      <c r="O339" s="45" t="n">
        <f aca="false">IF(O$333&gt;=1,(1+Premissas!$B$9)^(O$333-1),0)</f>
        <v>1.30477318382925</v>
      </c>
      <c r="P339" s="3"/>
    </row>
    <row r="340" customFormat="false" ht="15" hidden="false" customHeight="false" outlineLevel="0" collapsed="false">
      <c r="A340" s="3"/>
      <c r="B340" s="4" t="s">
        <v>405</v>
      </c>
      <c r="C340" s="36" t="n">
        <f aca="false">C335*Premissas!$D$77*Premissas!$D$32*C338</f>
        <v>0</v>
      </c>
      <c r="D340" s="36" t="n">
        <f aca="false">D335*Premissas!$D$77*Premissas!$D$32*D338</f>
        <v>0</v>
      </c>
      <c r="E340" s="36" t="n">
        <f aca="false">E335*Premissas!$D$77*Premissas!$D$32*E338</f>
        <v>0</v>
      </c>
      <c r="F340" s="36" t="n">
        <f aca="false">F335*Premissas!$D$77*Premissas!$D$32*F338</f>
        <v>2244000</v>
      </c>
      <c r="G340" s="36" t="n">
        <f aca="false">G335*Premissas!$D$77*Premissas!$D$32*G338</f>
        <v>2300100</v>
      </c>
      <c r="H340" s="36" t="n">
        <f aca="false">H335*Premissas!$D$77*Premissas!$D$32*H338</f>
        <v>2357602.5</v>
      </c>
      <c r="I340" s="36" t="n">
        <f aca="false">I335*Premissas!$D$77*Premissas!$D$32*I338</f>
        <v>2416542.5625</v>
      </c>
      <c r="J340" s="36" t="n">
        <f aca="false">J335*Premissas!$D$77*Premissas!$D$32*J338</f>
        <v>2476956.1265625</v>
      </c>
      <c r="K340" s="36" t="n">
        <f aca="false">K335*Premissas!$D$77*Premissas!$D$32*K338</f>
        <v>2538880.02972656</v>
      </c>
      <c r="L340" s="36" t="n">
        <f aca="false">L335*Premissas!$D$77*Premissas!$D$32*L338</f>
        <v>2602352.03046973</v>
      </c>
      <c r="M340" s="36" t="n">
        <f aca="false">M335*Premissas!$D$77*Premissas!$D$32*M338</f>
        <v>2667410.83123147</v>
      </c>
      <c r="N340" s="36" t="n">
        <f aca="false">N335*Premissas!$D$77*Premissas!$D$32*N338</f>
        <v>2734096.10201225</v>
      </c>
      <c r="O340" s="36" t="n">
        <f aca="false">O335*Premissas!$D$77*Premissas!$D$32*O338</f>
        <v>2802448.50456256</v>
      </c>
      <c r="P340" s="3"/>
    </row>
    <row r="341" customFormat="false" ht="15" hidden="false" customHeight="false" outlineLevel="0" collapsed="false">
      <c r="A341" s="3"/>
      <c r="B341" s="4" t="s">
        <v>406</v>
      </c>
      <c r="C341" s="36" t="n">
        <f aca="false">C337*Premissas!$D$77*Premissas!$D$32*(1-Premissas!$B$12)*C338</f>
        <v>0</v>
      </c>
      <c r="D341" s="36" t="n">
        <f aca="false">D337*Premissas!$D$77*Premissas!$D$32*(1-Premissas!$B$12)*D338</f>
        <v>0</v>
      </c>
      <c r="E341" s="36" t="n">
        <f aca="false">E337*Premissas!$D$77*Premissas!$D$32*(1-Premissas!$B$12)*E338</f>
        <v>0</v>
      </c>
      <c r="F341" s="36" t="n">
        <f aca="false">F337*Premissas!$D$77*Premissas!$D$32*(1-Premissas!$B$12)*F338</f>
        <v>1986875</v>
      </c>
      <c r="G341" s="36" t="n">
        <f aca="false">G337*Premissas!$D$77*Premissas!$D$32*(1-Premissas!$B$12)*G338</f>
        <v>2280932.5</v>
      </c>
      <c r="H341" s="36" t="n">
        <f aca="false">H337*Premissas!$D$77*Premissas!$D$32*(1-Premissas!$B$12)*H338</f>
        <v>2337955.8125</v>
      </c>
      <c r="I341" s="36" t="n">
        <f aca="false">I337*Premissas!$D$77*Premissas!$D$32*(1-Premissas!$B$12)*I338</f>
        <v>2396404.7078125</v>
      </c>
      <c r="J341" s="36" t="n">
        <f aca="false">J337*Premissas!$D$77*Premissas!$D$32*(1-Premissas!$B$12)*J338</f>
        <v>2456314.82550781</v>
      </c>
      <c r="K341" s="36" t="n">
        <f aca="false">K337*Premissas!$D$77*Premissas!$D$32*(1-Premissas!$B$12)*K338</f>
        <v>2517722.69614551</v>
      </c>
      <c r="L341" s="36" t="n">
        <f aca="false">L337*Premissas!$D$77*Premissas!$D$32*(1-Premissas!$B$12)*L338</f>
        <v>2580665.76354914</v>
      </c>
      <c r="M341" s="36" t="n">
        <f aca="false">M337*Premissas!$D$77*Premissas!$D$32*(1-Premissas!$B$12)*M338</f>
        <v>2645182.40763787</v>
      </c>
      <c r="N341" s="36" t="n">
        <f aca="false">N337*Premissas!$D$77*Premissas!$D$32*(1-Premissas!$B$12)*N338</f>
        <v>2711311.96782882</v>
      </c>
      <c r="O341" s="36" t="n">
        <f aca="false">O337*Premissas!$D$77*Premissas!$D$32*(1-Premissas!$B$12)*O338</f>
        <v>2779094.76702454</v>
      </c>
      <c r="P341" s="3"/>
    </row>
    <row r="342" customFormat="false" ht="15" hidden="false" customHeight="false" outlineLevel="0" collapsed="false">
      <c r="A342" s="3"/>
      <c r="B342" s="4" t="s">
        <v>407</v>
      </c>
      <c r="C342" s="36" t="n">
        <f aca="false">C336*Premissas!$D$44*Premissas!$D$38*Premissas!$D$78*Premissas!$D$32*(1-Premissas!$B$12)*C338</f>
        <v>0</v>
      </c>
      <c r="D342" s="36" t="n">
        <f aca="false">D336*Premissas!$D$44*Premissas!$D$38*Premissas!$D$78*Premissas!$D$32*(1-Premissas!$B$12)*D338</f>
        <v>0</v>
      </c>
      <c r="E342" s="36" t="n">
        <f aca="false">E336*Premissas!$D$44*Premissas!$D$38*Premissas!$D$78*Premissas!$D$32*(1-Premissas!$B$12)*E338</f>
        <v>0</v>
      </c>
      <c r="F342" s="36" t="n">
        <f aca="false">F336*Premissas!$D$44*Premissas!$D$38*Premissas!$D$78*Premissas!$D$32*(1-Premissas!$B$12)*F338</f>
        <v>686664</v>
      </c>
      <c r="G342" s="36" t="n">
        <f aca="false">G336*Premissas!$D$44*Premissas!$D$38*Premissas!$D$78*Premissas!$D$32*(1-Premissas!$B$12)*G338</f>
        <v>703830.6</v>
      </c>
      <c r="H342" s="36" t="n">
        <f aca="false">H336*Premissas!$D$44*Premissas!$D$38*Premissas!$D$78*Premissas!$D$32*(1-Premissas!$B$12)*H338</f>
        <v>721426.365</v>
      </c>
      <c r="I342" s="36" t="n">
        <f aca="false">I336*Premissas!$D$44*Premissas!$D$38*Premissas!$D$78*Premissas!$D$32*(1-Premissas!$B$12)*I338</f>
        <v>739462.024125</v>
      </c>
      <c r="J342" s="36" t="n">
        <f aca="false">J336*Premissas!$D$44*Premissas!$D$38*Premissas!$D$78*Premissas!$D$32*(1-Premissas!$B$12)*J338</f>
        <v>757948.574728125</v>
      </c>
      <c r="K342" s="36" t="n">
        <f aca="false">K336*Premissas!$D$44*Premissas!$D$38*Premissas!$D$78*Premissas!$D$32*(1-Premissas!$B$12)*K338</f>
        <v>776897.289096328</v>
      </c>
      <c r="L342" s="36" t="n">
        <f aca="false">L336*Premissas!$D$44*Premissas!$D$38*Premissas!$D$78*Premissas!$D$32*(1-Premissas!$B$12)*L338</f>
        <v>796319.721323736</v>
      </c>
      <c r="M342" s="36" t="n">
        <f aca="false">M336*Premissas!$D$44*Premissas!$D$38*Premissas!$D$78*Premissas!$D$32*(1-Premissas!$B$12)*M338</f>
        <v>816227.714356829</v>
      </c>
      <c r="N342" s="36" t="n">
        <f aca="false">N336*Premissas!$D$44*Premissas!$D$38*Premissas!$D$78*Premissas!$D$32*(1-Premissas!$B$12)*N338</f>
        <v>836633.40721575</v>
      </c>
      <c r="O342" s="36" t="n">
        <f aca="false">O336*Premissas!$D$44*Premissas!$D$38*Premissas!$D$78*Premissas!$D$32*(1-Premissas!$B$12)*O338</f>
        <v>857549.242396144</v>
      </c>
      <c r="P342" s="3"/>
    </row>
    <row r="343" customFormat="false" ht="15" hidden="false" customHeight="false" outlineLevel="0" collapsed="false">
      <c r="A343" s="3"/>
      <c r="B343" s="4" t="s">
        <v>408</v>
      </c>
      <c r="C343" s="36" t="n">
        <f aca="false">C334*Premissas!$D$44*Premissas!$B$14*Premissas!$B$13*C338</f>
        <v>0</v>
      </c>
      <c r="D343" s="36" t="n">
        <f aca="false">D334*Premissas!$D$44*Premissas!$B$14*Premissas!$B$13*D338</f>
        <v>0</v>
      </c>
      <c r="E343" s="36" t="n">
        <f aca="false">E334*Premissas!$D$44*Premissas!$B$14*Premissas!$B$13*E338</f>
        <v>0</v>
      </c>
      <c r="F343" s="36" t="n">
        <f aca="false">F334*Premissas!$D$44*Premissas!$B$14*Premissas!$B$13*F338</f>
        <v>184680</v>
      </c>
      <c r="G343" s="36" t="n">
        <f aca="false">G334*Premissas!$D$44*Premissas!$B$14*Premissas!$B$13*G338</f>
        <v>199260</v>
      </c>
      <c r="H343" s="36" t="n">
        <f aca="false">H334*Premissas!$D$44*Premissas!$B$14*Premissas!$B$13*H338</f>
        <v>204241.5</v>
      </c>
      <c r="I343" s="36" t="n">
        <f aca="false">I334*Premissas!$D$44*Premissas!$B$14*Premissas!$B$13*I338</f>
        <v>209347.5375</v>
      </c>
      <c r="J343" s="36" t="n">
        <f aca="false">J334*Premissas!$D$44*Premissas!$B$14*Premissas!$B$13*J338</f>
        <v>214581.2259375</v>
      </c>
      <c r="K343" s="36" t="n">
        <f aca="false">K334*Premissas!$D$44*Premissas!$B$14*Premissas!$B$13*K338</f>
        <v>219945.756585937</v>
      </c>
      <c r="L343" s="36" t="n">
        <f aca="false">L334*Premissas!$D$44*Premissas!$B$14*Premissas!$B$13*L338</f>
        <v>225444.400500586</v>
      </c>
      <c r="M343" s="36" t="n">
        <f aca="false">M334*Premissas!$D$44*Premissas!$B$14*Premissas!$B$13*M338</f>
        <v>231080.5105131</v>
      </c>
      <c r="N343" s="36" t="n">
        <f aca="false">N334*Premissas!$D$44*Premissas!$B$14*Premissas!$B$13*N338</f>
        <v>236857.523275928</v>
      </c>
      <c r="O343" s="36" t="n">
        <f aca="false">O334*Premissas!$D$44*Premissas!$B$14*Premissas!$B$13*O338</f>
        <v>242778.961357826</v>
      </c>
      <c r="P343" s="3"/>
    </row>
    <row r="344" customFormat="false" ht="15" hidden="false" customHeight="false" outlineLevel="0" collapsed="false">
      <c r="A344" s="3"/>
      <c r="B344" s="14" t="s">
        <v>409</v>
      </c>
      <c r="C344" s="33" t="n">
        <f aca="false">SUM(C340:C343)</f>
        <v>0</v>
      </c>
      <c r="D344" s="33" t="n">
        <f aca="false">SUM(D340:D343)</f>
        <v>0</v>
      </c>
      <c r="E344" s="33" t="n">
        <f aca="false">SUM(E340:E343)</f>
        <v>0</v>
      </c>
      <c r="F344" s="33" t="n">
        <f aca="false">SUM(F340:F343)</f>
        <v>5102219</v>
      </c>
      <c r="G344" s="33" t="n">
        <f aca="false">SUM(G340:G343)</f>
        <v>5484123.1</v>
      </c>
      <c r="H344" s="33" t="n">
        <f aca="false">SUM(H340:H343)</f>
        <v>5621226.1775</v>
      </c>
      <c r="I344" s="33" t="n">
        <f aca="false">SUM(I340:I343)</f>
        <v>5761756.8319375</v>
      </c>
      <c r="J344" s="33" t="n">
        <f aca="false">SUM(J340:J343)</f>
        <v>5905800.75273593</v>
      </c>
      <c r="K344" s="33" t="n">
        <f aca="false">SUM(K340:K343)</f>
        <v>6053445.77155433</v>
      </c>
      <c r="L344" s="33" t="n">
        <f aca="false">SUM(L340:L343)</f>
        <v>6204781.91584319</v>
      </c>
      <c r="M344" s="33" t="n">
        <f aca="false">SUM(M340:M343)</f>
        <v>6359901.46373927</v>
      </c>
      <c r="N344" s="33" t="n">
        <f aca="false">SUM(N340:N343)</f>
        <v>6518899.00033275</v>
      </c>
      <c r="O344" s="33" t="n">
        <f aca="false">SUM(O340:O343)</f>
        <v>6681871.47534107</v>
      </c>
      <c r="P344" s="3"/>
    </row>
    <row r="345" customFormat="false" ht="15" hidden="false" customHeight="false" outlineLevel="0" collapsed="false">
      <c r="A345" s="3"/>
      <c r="B345" s="4" t="s">
        <v>410</v>
      </c>
      <c r="C345" s="36" t="n">
        <f aca="false">-C334*(Premissas!$D$70*Premissas!$D$34/Premissas!$B$6+Premissas!$D$75)*Premissas!$D$33*C339</f>
        <v>-0</v>
      </c>
      <c r="D345" s="36" t="n">
        <f aca="false">-D334*(Premissas!$D$70*Premissas!$D$34/Premissas!$B$6+Premissas!$D$75)*Premissas!$D$33*D339</f>
        <v>-0</v>
      </c>
      <c r="E345" s="36" t="n">
        <f aca="false">-E334*(Premissas!$D$70*Premissas!$D$34/Premissas!$B$6+Premissas!$D$75)*Premissas!$D$33*E339</f>
        <v>-0</v>
      </c>
      <c r="F345" s="36" t="n">
        <f aca="false">-F334*(Premissas!$D$70*Premissas!$D$34/Premissas!$B$6+Premissas!$D$75)*Premissas!$D$33*F339</f>
        <v>-931789.656521739</v>
      </c>
      <c r="G345" s="36" t="n">
        <f aca="false">-G334*(Premissas!$D$70*Premissas!$D$34/Premissas!$B$6+Premissas!$D$75)*Premissas!$D$33*G339</f>
        <v>-1010256.15391304</v>
      </c>
      <c r="H345" s="36" t="n">
        <f aca="false">-H334*(Premissas!$D$70*Premissas!$D$34/Premissas!$B$6+Premissas!$D$75)*Premissas!$D$33*H339</f>
        <v>-1040563.83853044</v>
      </c>
      <c r="I345" s="36" t="n">
        <f aca="false">-I334*(Premissas!$D$70*Premissas!$D$34/Premissas!$B$6+Premissas!$D$75)*Premissas!$D$33*I339</f>
        <v>-1071780.75368635</v>
      </c>
      <c r="J345" s="36" t="n">
        <f aca="false">-J334*(Premissas!$D$70*Premissas!$D$34/Premissas!$B$6+Premissas!$D$75)*Premissas!$D$33*J339</f>
        <v>-1103934.17629694</v>
      </c>
      <c r="K345" s="36" t="n">
        <f aca="false">-K334*(Premissas!$D$70*Premissas!$D$34/Premissas!$B$6+Premissas!$D$75)*Premissas!$D$33*K339</f>
        <v>-1137052.20158585</v>
      </c>
      <c r="L345" s="36" t="n">
        <f aca="false">-L334*(Premissas!$D$70*Premissas!$D$34/Premissas!$B$6+Premissas!$D$75)*Premissas!$D$33*L339</f>
        <v>-1171163.76763342</v>
      </c>
      <c r="M345" s="36" t="n">
        <f aca="false">-M334*(Premissas!$D$70*Premissas!$D$34/Premissas!$B$6+Premissas!$D$75)*Premissas!$D$33*M339</f>
        <v>-1206298.68066243</v>
      </c>
      <c r="N345" s="36" t="n">
        <f aca="false">-N334*(Premissas!$D$70*Premissas!$D$34/Premissas!$B$6+Premissas!$D$75)*Premissas!$D$33*N339</f>
        <v>-1242487.6410823</v>
      </c>
      <c r="O345" s="36" t="n">
        <f aca="false">-O334*(Premissas!$D$70*Premissas!$D$34/Premissas!$B$6+Premissas!$D$75)*Premissas!$D$33*O339</f>
        <v>-1279762.27031477</v>
      </c>
      <c r="P345" s="3"/>
    </row>
    <row r="346" customFormat="false" ht="15" hidden="false" customHeight="false" outlineLevel="0" collapsed="false">
      <c r="A346" s="3"/>
      <c r="B346" s="4" t="s">
        <v>411</v>
      </c>
      <c r="C346" s="36" t="n">
        <f aca="false">-IF(C$333&gt;=1,Premissas!$D$68*Premissas!$D$33*C339,0)</f>
        <v>-0</v>
      </c>
      <c r="D346" s="36" t="n">
        <f aca="false">-IF(D$333&gt;=1,Premissas!$D$68*Premissas!$D$33*D339,0)</f>
        <v>-0</v>
      </c>
      <c r="E346" s="36" t="n">
        <f aca="false">-IF(E$333&gt;=1,Premissas!$D$68*Premissas!$D$33*E339,0)</f>
        <v>-0</v>
      </c>
      <c r="F346" s="36" t="n">
        <f aca="false">-IF(F$333&gt;=1,Premissas!$D$68*Premissas!$D$33*F339,0)</f>
        <v>-2402536.7</v>
      </c>
      <c r="G346" s="36" t="n">
        <f aca="false">-IF(G$333&gt;=1,Premissas!$D$68*Premissas!$D$33*G339,0)</f>
        <v>-2474612.801</v>
      </c>
      <c r="H346" s="36" t="n">
        <f aca="false">-IF(H$333&gt;=1,Premissas!$D$68*Premissas!$D$33*H339,0)</f>
        <v>-2548851.18503</v>
      </c>
      <c r="I346" s="36" t="n">
        <f aca="false">-IF(I$333&gt;=1,Premissas!$D$68*Premissas!$D$33*I339,0)</f>
        <v>-2625316.7205809</v>
      </c>
      <c r="J346" s="36" t="n">
        <f aca="false">-IF(J$333&gt;=1,Premissas!$D$68*Premissas!$D$33*J339,0)</f>
        <v>-2704076.22219833</v>
      </c>
      <c r="K346" s="36" t="n">
        <f aca="false">-IF(K$333&gt;=1,Premissas!$D$68*Premissas!$D$33*K339,0)</f>
        <v>-2785198.50886428</v>
      </c>
      <c r="L346" s="36" t="n">
        <f aca="false">-IF(L$333&gt;=1,Premissas!$D$68*Premissas!$D$33*L339,0)</f>
        <v>-2868754.46413021</v>
      </c>
      <c r="M346" s="36" t="n">
        <f aca="false">-IF(M$333&gt;=1,Premissas!$D$68*Premissas!$D$33*M339,0)</f>
        <v>-2954817.09805411</v>
      </c>
      <c r="N346" s="36" t="n">
        <f aca="false">-IF(N$333&gt;=1,Premissas!$D$68*Premissas!$D$33*N339,0)</f>
        <v>-3043461.61099574</v>
      </c>
      <c r="O346" s="36" t="n">
        <f aca="false">-IF(O$333&gt;=1,Premissas!$D$68*Premissas!$D$33*O339,0)</f>
        <v>-3134765.45932561</v>
      </c>
      <c r="P346" s="3"/>
    </row>
    <row r="347" customFormat="false" ht="15" hidden="false" customHeight="false" outlineLevel="0" collapsed="false">
      <c r="A347" s="3"/>
      <c r="B347" s="14" t="s">
        <v>412</v>
      </c>
      <c r="C347" s="33" t="n">
        <f aca="false">C344+C345+C346</f>
        <v>0</v>
      </c>
      <c r="D347" s="33" t="n">
        <f aca="false">D344+D345+D346</f>
        <v>0</v>
      </c>
      <c r="E347" s="33" t="n">
        <f aca="false">E344+E345+E346</f>
        <v>0</v>
      </c>
      <c r="F347" s="33" t="n">
        <f aca="false">F344+F345+F346</f>
        <v>1767892.64347826</v>
      </c>
      <c r="G347" s="33" t="n">
        <f aca="false">G344+G345+G346</f>
        <v>1999254.14508696</v>
      </c>
      <c r="H347" s="33" t="n">
        <f aca="false">H344+H345+H346</f>
        <v>2031811.15393957</v>
      </c>
      <c r="I347" s="33" t="n">
        <f aca="false">I344+I345+I346</f>
        <v>2064659.35767025</v>
      </c>
      <c r="J347" s="33" t="n">
        <f aca="false">J344+J345+J346</f>
        <v>2097790.35424067</v>
      </c>
      <c r="K347" s="33" t="n">
        <f aca="false">K344+K345+K346</f>
        <v>2131195.06110421</v>
      </c>
      <c r="L347" s="33" t="n">
        <f aca="false">L344+L345+L346</f>
        <v>2164863.68407956</v>
      </c>
      <c r="M347" s="33" t="n">
        <f aca="false">M344+M345+M346</f>
        <v>2198785.68502273</v>
      </c>
      <c r="N347" s="33" t="n">
        <f aca="false">N344+N345+N346</f>
        <v>2232949.74825472</v>
      </c>
      <c r="O347" s="33" t="n">
        <f aca="false">O344+O345+O346</f>
        <v>2267343.7457007</v>
      </c>
      <c r="P347" s="3"/>
    </row>
    <row r="348" customFormat="false" ht="15" hidden="false" customHeight="false" outlineLevel="0" collapsed="false">
      <c r="A348" s="3"/>
      <c r="B348" s="4" t="s">
        <v>413</v>
      </c>
      <c r="C348" s="42" t="n">
        <f aca="false">IF(C344=0,0,C347/C344)</f>
        <v>0</v>
      </c>
      <c r="D348" s="42" t="n">
        <f aca="false">IF(D344=0,0,D347/D344)</f>
        <v>0</v>
      </c>
      <c r="E348" s="42" t="n">
        <f aca="false">IF(E344=0,0,E347/E344)</f>
        <v>0</v>
      </c>
      <c r="F348" s="42" t="n">
        <f aca="false">IF(F344=0,0,F347/F344)</f>
        <v>0.346494857135349</v>
      </c>
      <c r="G348" s="42" t="n">
        <f aca="false">IF(G344=0,0,G347/G344)</f>
        <v>0.364553112435962</v>
      </c>
      <c r="H348" s="42" t="n">
        <f aca="false">IF(H344=0,0,H347/H344)</f>
        <v>0.361453371521016</v>
      </c>
      <c r="I348" s="42" t="n">
        <f aca="false">IF(I344=0,0,I347/I344)</f>
        <v>0.358338509918679</v>
      </c>
      <c r="J348" s="42" t="n">
        <f aca="false">IF(J344=0,0,J347/J344)</f>
        <v>0.355208453869501</v>
      </c>
      <c r="K348" s="42" t="n">
        <f aca="false">IF(K344=0,0,K347/K344)</f>
        <v>0.352063129254231</v>
      </c>
      <c r="L348" s="42" t="n">
        <f aca="false">IF(L344=0,0,L347/L344)</f>
        <v>0.348902461592056</v>
      </c>
      <c r="M348" s="42" t="n">
        <f aca="false">IF(M344=0,0,M347/M344)</f>
        <v>0.345726376038847</v>
      </c>
      <c r="N348" s="42" t="n">
        <f aca="false">IF(N344=0,0,N347/N344)</f>
        <v>0.342534797385377</v>
      </c>
      <c r="O348" s="42" t="n">
        <f aca="false">IF(O344=0,0,O347/O344)</f>
        <v>0.33932765005555</v>
      </c>
      <c r="P348" s="3"/>
    </row>
    <row r="349" customFormat="false" ht="15" hidden="false" customHeight="false" outlineLevel="0" collapsed="false">
      <c r="A349" s="3"/>
      <c r="B349" s="4" t="s">
        <v>414</v>
      </c>
      <c r="C349" s="36" t="n">
        <f aca="false">-IF(C$333&gt;=1,Premissas!$D$52*(1-Premissas!$D$35)/10,0)</f>
        <v>-0</v>
      </c>
      <c r="D349" s="36" t="n">
        <f aca="false">-IF(D$333&gt;=1,Premissas!$D$52*(1-Premissas!$D$35)/10,0)</f>
        <v>-0</v>
      </c>
      <c r="E349" s="36" t="n">
        <f aca="false">-IF(E$333&gt;=1,Premissas!$D$52*(1-Premissas!$D$35)/10,0)</f>
        <v>-0</v>
      </c>
      <c r="F349" s="36" t="n">
        <f aca="false">-IF(F$333&gt;=1,Premissas!$D$52*(1-Premissas!$D$35)/10,0)</f>
        <v>-1117900</v>
      </c>
      <c r="G349" s="36" t="n">
        <f aca="false">-IF(G$333&gt;=1,Premissas!$D$52*(1-Premissas!$D$35)/10,0)</f>
        <v>-1117900</v>
      </c>
      <c r="H349" s="36" t="n">
        <f aca="false">-IF(H$333&gt;=1,Premissas!$D$52*(1-Premissas!$D$35)/10,0)</f>
        <v>-1117900</v>
      </c>
      <c r="I349" s="36" t="n">
        <f aca="false">-IF(I$333&gt;=1,Premissas!$D$52*(1-Premissas!$D$35)/10,0)</f>
        <v>-1117900</v>
      </c>
      <c r="J349" s="36" t="n">
        <f aca="false">-IF(J$333&gt;=1,Premissas!$D$52*(1-Premissas!$D$35)/10,0)</f>
        <v>-1117900</v>
      </c>
      <c r="K349" s="36" t="n">
        <f aca="false">-IF(K$333&gt;=1,Premissas!$D$52*(1-Premissas!$D$35)/10,0)</f>
        <v>-1117900</v>
      </c>
      <c r="L349" s="36" t="n">
        <f aca="false">-IF(L$333&gt;=1,Premissas!$D$52*(1-Premissas!$D$35)/10,0)</f>
        <v>-1117900</v>
      </c>
      <c r="M349" s="36" t="n">
        <f aca="false">-IF(M$333&gt;=1,Premissas!$D$52*(1-Premissas!$D$35)/10,0)</f>
        <v>-1117900</v>
      </c>
      <c r="N349" s="36" t="n">
        <f aca="false">-IF(N$333&gt;=1,Premissas!$D$52*(1-Premissas!$D$35)/10,0)</f>
        <v>-1117900</v>
      </c>
      <c r="O349" s="36" t="n">
        <f aca="false">-IF(O$333&gt;=1,Premissas!$D$52*(1-Premissas!$D$35)/10,0)</f>
        <v>-1117900</v>
      </c>
      <c r="P349" s="3"/>
    </row>
    <row r="350" customFormat="false" ht="15" hidden="false" customHeight="false" outlineLevel="0" collapsed="false">
      <c r="A350" s="3"/>
      <c r="B350" s="14" t="s">
        <v>415</v>
      </c>
      <c r="C350" s="40" t="n">
        <f aca="false">C347+C349</f>
        <v>0</v>
      </c>
      <c r="D350" s="40" t="n">
        <f aca="false">D347+D349</f>
        <v>0</v>
      </c>
      <c r="E350" s="40" t="n">
        <f aca="false">E347+E349</f>
        <v>0</v>
      </c>
      <c r="F350" s="40" t="n">
        <f aca="false">F347+F349</f>
        <v>649992.643478261</v>
      </c>
      <c r="G350" s="40" t="n">
        <f aca="false">G347+G349</f>
        <v>881354.145086956</v>
      </c>
      <c r="H350" s="40" t="n">
        <f aca="false">H347+H349</f>
        <v>913911.153939565</v>
      </c>
      <c r="I350" s="40" t="n">
        <f aca="false">I347+I349</f>
        <v>946759.35767025</v>
      </c>
      <c r="J350" s="40" t="n">
        <f aca="false">J347+J349</f>
        <v>979890.354240668</v>
      </c>
      <c r="K350" s="40" t="n">
        <f aca="false">K347+K349</f>
        <v>1013295.06110421</v>
      </c>
      <c r="L350" s="40" t="n">
        <f aca="false">L347+L349</f>
        <v>1046963.68407956</v>
      </c>
      <c r="M350" s="40" t="n">
        <f aca="false">M347+M349</f>
        <v>1080885.68502273</v>
      </c>
      <c r="N350" s="40" t="n">
        <f aca="false">N347+N349</f>
        <v>1115049.74825472</v>
      </c>
      <c r="O350" s="40" t="n">
        <f aca="false">O347+O349</f>
        <v>1149443.7457007</v>
      </c>
      <c r="P350" s="3"/>
    </row>
    <row r="351" customFormat="false" ht="15" hidden="false" customHeight="false" outlineLevel="0" collapsed="false">
      <c r="A351" s="3"/>
      <c r="B351" s="4" t="s">
        <v>416</v>
      </c>
      <c r="C351" s="36" t="n">
        <f aca="false">-MAX(0,C350)*Premissas!$B$11</f>
        <v>-0</v>
      </c>
      <c r="D351" s="36" t="n">
        <f aca="false">-MAX(0,D350)*Premissas!$B$11</f>
        <v>-0</v>
      </c>
      <c r="E351" s="36" t="n">
        <f aca="false">-MAX(0,E350)*Premissas!$B$11</f>
        <v>-0</v>
      </c>
      <c r="F351" s="36" t="n">
        <f aca="false">-MAX(0,F350)*Premissas!$B$11</f>
        <v>-220997.498782609</v>
      </c>
      <c r="G351" s="36" t="n">
        <f aca="false">-MAX(0,G350)*Premissas!$B$11</f>
        <v>-299660.409329565</v>
      </c>
      <c r="H351" s="36" t="n">
        <f aca="false">-MAX(0,H350)*Premissas!$B$11</f>
        <v>-310729.792339452</v>
      </c>
      <c r="I351" s="36" t="n">
        <f aca="false">-MAX(0,I350)*Premissas!$B$11</f>
        <v>-321898.181607885</v>
      </c>
      <c r="J351" s="36" t="n">
        <f aca="false">-MAX(0,J350)*Premissas!$B$11</f>
        <v>-333162.720441827</v>
      </c>
      <c r="K351" s="36" t="n">
        <f aca="false">-MAX(0,K350)*Premissas!$B$11</f>
        <v>-344520.320775431</v>
      </c>
      <c r="L351" s="36" t="n">
        <f aca="false">-MAX(0,L350)*Premissas!$B$11</f>
        <v>-355967.652587052</v>
      </c>
      <c r="M351" s="36" t="n">
        <f aca="false">-MAX(0,M350)*Premissas!$B$11</f>
        <v>-367501.13290773</v>
      </c>
      <c r="N351" s="36" t="n">
        <f aca="false">-MAX(0,N350)*Premissas!$B$11</f>
        <v>-379116.914406604</v>
      </c>
      <c r="O351" s="36" t="n">
        <f aca="false">-MAX(0,O350)*Premissas!$B$11</f>
        <v>-390810.873538237</v>
      </c>
      <c r="P351" s="3"/>
    </row>
    <row r="352" customFormat="false" ht="15" hidden="false" customHeight="false" outlineLevel="0" collapsed="false">
      <c r="A352" s="3"/>
      <c r="B352" s="4" t="s">
        <v>417</v>
      </c>
      <c r="C352" s="36" t="n">
        <f aca="false">-(IF(C$333=3,Premissas!$D$80,0)+IF(C$333=5,Premissas!$D$81,0)+IF(C$333=8,Premissas!$D$82,0)+IF(C$333=10,Premissas!$D$83,0))*C339</f>
        <v>-0</v>
      </c>
      <c r="D352" s="36" t="n">
        <f aca="false">-(IF(D$333=3,Premissas!$D$80,0)+IF(D$333=5,Premissas!$D$81,0)+IF(D$333=8,Premissas!$D$82,0)+IF(D$333=10,Premissas!$D$83,0))*D339</f>
        <v>-0</v>
      </c>
      <c r="E352" s="36" t="n">
        <f aca="false">-(IF(E$333=3,Premissas!$D$80,0)+IF(E$333=5,Premissas!$D$81,0)+IF(E$333=8,Premissas!$D$82,0)+IF(E$333=10,Premissas!$D$83,0))*E339</f>
        <v>-0</v>
      </c>
      <c r="F352" s="36" t="n">
        <f aca="false">-(IF(F$333=3,Premissas!$D$80,0)+IF(F$333=5,Premissas!$D$81,0)+IF(F$333=8,Premissas!$D$82,0)+IF(F$333=10,Premissas!$D$83,0))*F339</f>
        <v>-0</v>
      </c>
      <c r="G352" s="36" t="n">
        <f aca="false">-(IF(G$333=3,Premissas!$D$80,0)+IF(G$333=5,Premissas!$D$81,0)+IF(G$333=8,Premissas!$D$82,0)+IF(G$333=10,Premissas!$D$83,0))*G339</f>
        <v>-0</v>
      </c>
      <c r="H352" s="36" t="n">
        <f aca="false">-(IF(H$333=3,Premissas!$D$80,0)+IF(H$333=5,Premissas!$D$81,0)+IF(H$333=8,Premissas!$D$82,0)+IF(H$333=10,Premissas!$D$83,0))*H339</f>
        <v>-265225</v>
      </c>
      <c r="I352" s="36" t="n">
        <f aca="false">-(IF(I$333=3,Premissas!$D$80,0)+IF(I$333=5,Premissas!$D$81,0)+IF(I$333=8,Premissas!$D$82,0)+IF(I$333=10,Premissas!$D$83,0))*I339</f>
        <v>-0</v>
      </c>
      <c r="J352" s="36" t="n">
        <f aca="false">-(IF(J$333=3,Premissas!$D$80,0)+IF(J$333=5,Premissas!$D$81,0)+IF(J$333=8,Premissas!$D$82,0)+IF(J$333=10,Premissas!$D$83,0))*J339</f>
        <v>-675305.286</v>
      </c>
      <c r="K352" s="36" t="n">
        <f aca="false">-(IF(K$333=3,Premissas!$D$80,0)+IF(K$333=5,Premissas!$D$81,0)+IF(K$333=8,Premissas!$D$82,0)+IF(K$333=10,Premissas!$D$83,0))*K339</f>
        <v>-0</v>
      </c>
      <c r="L352" s="36" t="n">
        <f aca="false">-(IF(L$333=3,Premissas!$D$80,0)+IF(L$333=5,Premissas!$D$81,0)+IF(L$333=8,Premissas!$D$82,0)+IF(L$333=10,Premissas!$D$83,0))*L339</f>
        <v>-0</v>
      </c>
      <c r="M352" s="36" t="n">
        <f aca="false">-(IF(M$333=3,Premissas!$D$80,0)+IF(M$333=5,Premissas!$D$81,0)+IF(M$333=8,Premissas!$D$82,0)+IF(M$333=10,Premissas!$D$83,0))*M339</f>
        <v>-368962.159627461</v>
      </c>
      <c r="N352" s="36" t="n">
        <f aca="false">-(IF(N$333=3,Premissas!$D$80,0)+IF(N$333=5,Premissas!$D$81,0)+IF(N$333=8,Premissas!$D$82,0)+IF(N$333=10,Premissas!$D$83,0))*N339</f>
        <v>-0</v>
      </c>
      <c r="O352" s="36" t="n">
        <f aca="false">-(IF(O$333=3,Premissas!$D$80,0)+IF(O$333=5,Premissas!$D$81,0)+IF(O$333=8,Premissas!$D$82,0)+IF(O$333=10,Premissas!$D$83,0))*O339</f>
        <v>-913341.228680471</v>
      </c>
      <c r="P352" s="3"/>
    </row>
    <row r="353" customFormat="false" ht="15" hidden="false" customHeight="false" outlineLevel="0" collapsed="false">
      <c r="A353" s="3"/>
      <c r="B353" s="4" t="s">
        <v>418</v>
      </c>
      <c r="C353" s="36" t="n">
        <f aca="false">-IF(C$333&gt;=1,Premissas!$D$52*(Premissas!$D$84+IF(C$333=6,Premissas!$D$85,0))*C339,0)</f>
        <v>-0</v>
      </c>
      <c r="D353" s="36" t="n">
        <f aca="false">-IF(D$333&gt;=1,Premissas!$D$52*(Premissas!$D$84+IF(D$333=6,Premissas!$D$85,0))*D339,0)</f>
        <v>-0</v>
      </c>
      <c r="E353" s="36" t="n">
        <f aca="false">-IF(E$333&gt;=1,Premissas!$D$52*(Premissas!$D$84+IF(E$333=6,Premissas!$D$85,0))*E339,0)</f>
        <v>-0</v>
      </c>
      <c r="F353" s="36" t="n">
        <f aca="false">-IF(F$333&gt;=1,Premissas!$D$52*(Premissas!$D$84+IF(F$333=6,Premissas!$D$85,0))*F339,0)</f>
        <v>-159700</v>
      </c>
      <c r="G353" s="36" t="n">
        <f aca="false">-IF(G$333&gt;=1,Premissas!$D$52*(Premissas!$D$84+IF(G$333=6,Premissas!$D$85,0))*G339,0)</f>
        <v>-164491</v>
      </c>
      <c r="H353" s="36" t="n">
        <f aca="false">-IF(H$333&gt;=1,Premissas!$D$52*(Premissas!$D$84+IF(H$333=6,Premissas!$D$85,0))*H339,0)</f>
        <v>-169425.73</v>
      </c>
      <c r="I353" s="36" t="n">
        <f aca="false">-IF(I$333&gt;=1,Premissas!$D$52*(Premissas!$D$84+IF(I$333=6,Premissas!$D$85,0))*I339,0)</f>
        <v>-174508.5019</v>
      </c>
      <c r="J353" s="36" t="n">
        <f aca="false">-IF(J$333&gt;=1,Premissas!$D$52*(Premissas!$D$84+IF(J$333=6,Premissas!$D$85,0))*J339,0)</f>
        <v>-179743.756957</v>
      </c>
      <c r="K353" s="36" t="n">
        <f aca="false">-IF(K$333&gt;=1,Premissas!$D$52*(Premissas!$D$84+IF(K$333=6,Premissas!$D$85,0))*K339,0)</f>
        <v>-1666224.62699139</v>
      </c>
      <c r="L353" s="36" t="n">
        <f aca="false">-IF(L$333&gt;=1,Premissas!$D$52*(Premissas!$D$84+IF(L$333=6,Premissas!$D$85,0))*L339,0)</f>
        <v>-190690.151755681</v>
      </c>
      <c r="M353" s="36" t="n">
        <f aca="false">-IF(M$333&gt;=1,Premissas!$D$52*(Premissas!$D$84+IF(M$333=6,Premissas!$D$85,0))*M339,0)</f>
        <v>-196410.856308352</v>
      </c>
      <c r="N353" s="36" t="n">
        <f aca="false">-IF(N$333&gt;=1,Premissas!$D$52*(Premissas!$D$84+IF(N$333=6,Premissas!$D$85,0))*N339,0)</f>
        <v>-202303.181997602</v>
      </c>
      <c r="O353" s="36" t="n">
        <f aca="false">-IF(O$333&gt;=1,Premissas!$D$52*(Premissas!$D$84+IF(O$333=6,Premissas!$D$85,0))*O339,0)</f>
        <v>-208372.27745753</v>
      </c>
      <c r="P353" s="3"/>
    </row>
    <row r="354" customFormat="false" ht="15" hidden="false" customHeight="false" outlineLevel="0" collapsed="false">
      <c r="A354" s="3"/>
      <c r="B354" s="4" t="s">
        <v>419</v>
      </c>
      <c r="C354" s="36" t="n">
        <f aca="false">-Premissas!$D$52*Premissas!$D$53</f>
        <v>-6388000</v>
      </c>
      <c r="D354" s="36" t="n">
        <f aca="false">-Premissas!$D$52*Premissas!$D$54</f>
        <v>-6388000</v>
      </c>
      <c r="E354" s="36" t="n">
        <f aca="false">-Premissas!$D$52*Premissas!$D$55</f>
        <v>-19164000</v>
      </c>
      <c r="F354" s="36" t="n">
        <v>0</v>
      </c>
      <c r="G354" s="36" t="n">
        <v>0</v>
      </c>
      <c r="H354" s="36" t="n">
        <v>0</v>
      </c>
      <c r="I354" s="36" t="n">
        <v>0</v>
      </c>
      <c r="J354" s="36" t="n">
        <v>0</v>
      </c>
      <c r="K354" s="36" t="n">
        <v>0</v>
      </c>
      <c r="L354" s="36" t="n">
        <v>0</v>
      </c>
      <c r="M354" s="36" t="n">
        <v>0</v>
      </c>
      <c r="N354" s="36" t="n">
        <v>0</v>
      </c>
      <c r="O354" s="36" t="n">
        <v>0</v>
      </c>
      <c r="P354" s="3"/>
    </row>
    <row r="355" customFormat="false" ht="15" hidden="false" customHeight="false" outlineLevel="0" collapsed="false">
      <c r="A355" s="3"/>
      <c r="B355" s="4" t="s">
        <v>420</v>
      </c>
      <c r="C355" s="36" t="n">
        <f aca="false">IF(C$333=10,Premissas!$D$52*Premissas!$D$35,0)</f>
        <v>0</v>
      </c>
      <c r="D355" s="36" t="n">
        <f aca="false">IF(D$333=10,Premissas!$D$52*Premissas!$D$35,0)</f>
        <v>0</v>
      </c>
      <c r="E355" s="36" t="n">
        <f aca="false">IF(E$333=10,Premissas!$D$52*Premissas!$D$35,0)</f>
        <v>0</v>
      </c>
      <c r="F355" s="36" t="n">
        <f aca="false">IF(F$333=10,Premissas!$D$52*Premissas!$D$35,0)</f>
        <v>0</v>
      </c>
      <c r="G355" s="36" t="n">
        <f aca="false">IF(G$333=10,Premissas!$D$52*Premissas!$D$35,0)</f>
        <v>0</v>
      </c>
      <c r="H355" s="36" t="n">
        <f aca="false">IF(H$333=10,Premissas!$D$52*Premissas!$D$35,0)</f>
        <v>0</v>
      </c>
      <c r="I355" s="36" t="n">
        <f aca="false">IF(I$333=10,Premissas!$D$52*Premissas!$D$35,0)</f>
        <v>0</v>
      </c>
      <c r="J355" s="36" t="n">
        <f aca="false">IF(J$333=10,Premissas!$D$52*Premissas!$D$35,0)</f>
        <v>0</v>
      </c>
      <c r="K355" s="36" t="n">
        <f aca="false">IF(K$333=10,Premissas!$D$52*Premissas!$D$35,0)</f>
        <v>0</v>
      </c>
      <c r="L355" s="36" t="n">
        <f aca="false">IF(L$333=10,Premissas!$D$52*Premissas!$D$35,0)</f>
        <v>0</v>
      </c>
      <c r="M355" s="36" t="n">
        <f aca="false">IF(M$333=10,Premissas!$D$52*Premissas!$D$35,0)</f>
        <v>0</v>
      </c>
      <c r="N355" s="36" t="n">
        <f aca="false">IF(N$333=10,Premissas!$D$52*Premissas!$D$35,0)</f>
        <v>0</v>
      </c>
      <c r="O355" s="36" t="n">
        <f aca="false">IF(O$333=10,Premissas!$D$52*Premissas!$D$35,0)</f>
        <v>20761000</v>
      </c>
      <c r="P355" s="3"/>
    </row>
    <row r="356" customFormat="false" ht="15" hidden="false" customHeight="false" outlineLevel="0" collapsed="false">
      <c r="A356" s="3"/>
      <c r="B356" s="14" t="s">
        <v>421</v>
      </c>
      <c r="C356" s="33" t="n">
        <f aca="false">C347+C351+C352+C353+C354+C355</f>
        <v>-6388000</v>
      </c>
      <c r="D356" s="33" t="n">
        <f aca="false">D347+D351+D352+D353+D354+D355</f>
        <v>-6388000</v>
      </c>
      <c r="E356" s="33" t="n">
        <f aca="false">E347+E351+E352+E353+E354+E355</f>
        <v>-19164000</v>
      </c>
      <c r="F356" s="33" t="n">
        <f aca="false">F347+F351+F352+F353+F354+F355</f>
        <v>1387195.14469565</v>
      </c>
      <c r="G356" s="33" t="n">
        <f aca="false">G347+G351+G352+G353+G354+G355</f>
        <v>1535102.73575739</v>
      </c>
      <c r="H356" s="33" t="n">
        <f aca="false">H347+H351+H352+H353+H354+H355</f>
        <v>1286430.63160011</v>
      </c>
      <c r="I356" s="33" t="n">
        <f aca="false">I347+I351+I352+I353+I354+I355</f>
        <v>1568252.67416236</v>
      </c>
      <c r="J356" s="33" t="n">
        <f aca="false">J347+J351+J352+J353+J354+J355</f>
        <v>909578.590841841</v>
      </c>
      <c r="K356" s="33" t="n">
        <f aca="false">K347+K351+K352+K353+K354+K355</f>
        <v>120450.113337388</v>
      </c>
      <c r="L356" s="33" t="n">
        <f aca="false">L347+L351+L352+L353+L354+L355</f>
        <v>1618205.87973683</v>
      </c>
      <c r="M356" s="33" t="n">
        <f aca="false">M347+M351+M352+M353+M354+M355</f>
        <v>1265911.53617919</v>
      </c>
      <c r="N356" s="33" t="n">
        <f aca="false">N347+N351+N352+N353+N354+N355</f>
        <v>1651529.65185051</v>
      </c>
      <c r="O356" s="33" t="n">
        <f aca="false">O347+O351+O352+O353+O354+O355</f>
        <v>21515819.3660245</v>
      </c>
      <c r="P356" s="3"/>
    </row>
    <row r="357" customFormat="false" ht="15" hidden="false" customHeight="false" outlineLevel="0" collapsed="false">
      <c r="A357" s="3"/>
      <c r="B357" s="4" t="s">
        <v>422</v>
      </c>
      <c r="C357" s="36" t="n">
        <f aca="false">C356-C355</f>
        <v>-6388000</v>
      </c>
      <c r="D357" s="36" t="n">
        <f aca="false">C357+D356-D355</f>
        <v>-12776000</v>
      </c>
      <c r="E357" s="36" t="n">
        <f aca="false">D357+E356-E355</f>
        <v>-31940000</v>
      </c>
      <c r="F357" s="36" t="n">
        <f aca="false">E357+F356-F355</f>
        <v>-30552804.8553044</v>
      </c>
      <c r="G357" s="36" t="n">
        <f aca="false">F357+G356-G355</f>
        <v>-29017702.119547</v>
      </c>
      <c r="H357" s="36" t="n">
        <f aca="false">G357+H356-H355</f>
        <v>-27731271.4879468</v>
      </c>
      <c r="I357" s="36" t="n">
        <f aca="false">H357+I356-I355</f>
        <v>-26163018.8137845</v>
      </c>
      <c r="J357" s="36" t="n">
        <f aca="false">I357+J356-J355</f>
        <v>-25253440.2229426</v>
      </c>
      <c r="K357" s="36" t="n">
        <f aca="false">J357+K356-K355</f>
        <v>-25132990.1096053</v>
      </c>
      <c r="L357" s="36" t="n">
        <f aca="false">K357+L356-L355</f>
        <v>-23514784.2298684</v>
      </c>
      <c r="M357" s="36" t="n">
        <f aca="false">L357+M356-M355</f>
        <v>-22248872.6936892</v>
      </c>
      <c r="N357" s="36" t="n">
        <f aca="false">M357+N356-N355</f>
        <v>-20597343.0418387</v>
      </c>
      <c r="O357" s="36" t="n">
        <f aca="false">N357+O356-O355</f>
        <v>-19842523.6758143</v>
      </c>
      <c r="P357" s="3"/>
    </row>
    <row r="358" customFormat="false" ht="15" hidden="false" customHeight="false" outlineLevel="0" collapsed="false">
      <c r="A358" s="3"/>
      <c r="B358" s="6" t="s">
        <v>423</v>
      </c>
      <c r="C358" s="46" t="n">
        <v>0</v>
      </c>
      <c r="D358" s="46" t="n">
        <v>0</v>
      </c>
      <c r="E358" s="46" t="n">
        <v>0</v>
      </c>
      <c r="F358" s="46" t="n">
        <f aca="false">IF(AND(E357&lt;0,F357&gt;=0),F$333-1+(-E357)/(F356-F355),0)</f>
        <v>0</v>
      </c>
      <c r="G358" s="46" t="n">
        <f aca="false">IF(AND(F357&lt;0,G357&gt;=0),G$333-1+(-F357)/(G356-G355),0)</f>
        <v>0</v>
      </c>
      <c r="H358" s="46" t="n">
        <f aca="false">IF(AND(G357&lt;0,H357&gt;=0),H$333-1+(-G357)/(H356-H355),0)</f>
        <v>0</v>
      </c>
      <c r="I358" s="46" t="n">
        <f aca="false">IF(AND(H357&lt;0,I357&gt;=0),I$333-1+(-H357)/(I356-I355),0)</f>
        <v>0</v>
      </c>
      <c r="J358" s="46" t="n">
        <f aca="false">IF(AND(I357&lt;0,J357&gt;=0),J$333-1+(-I357)/(J356-J355),0)</f>
        <v>0</v>
      </c>
      <c r="K358" s="46" t="n">
        <f aca="false">IF(AND(J357&lt;0,K357&gt;=0),K$333-1+(-J357)/(K356-K355),0)</f>
        <v>0</v>
      </c>
      <c r="L358" s="46" t="n">
        <f aca="false">IF(AND(K357&lt;0,L357&gt;=0),L$333-1+(-K357)/(L356-L355),0)</f>
        <v>0</v>
      </c>
      <c r="M358" s="46" t="n">
        <f aca="false">IF(AND(L357&lt;0,M357&gt;=0),M$333-1+(-L357)/(M356-M355),0)</f>
        <v>0</v>
      </c>
      <c r="N358" s="46" t="n">
        <f aca="false">IF(AND(M357&lt;0,N357&gt;=0),N$333-1+(-M357)/(N356-N355),0)</f>
        <v>0</v>
      </c>
      <c r="O358" s="46" t="n">
        <f aca="false">IF(AND(N357&lt;0,O357&gt;=0),O$333-1+(-N357)/(O356-O355),0)</f>
        <v>0</v>
      </c>
      <c r="P358" s="3"/>
    </row>
    <row r="359" customFormat="false" ht="15" hidden="false" customHeight="false" outlineLevel="0" collapsed="false">
      <c r="A359" s="3"/>
      <c r="B359" s="14" t="s">
        <v>424</v>
      </c>
      <c r="C359" s="47" t="n">
        <f aca="false">IFERROR(IRR(C356:O356,0.05),IFERROR(IRR(C356:O356,-0.05),IF(SUM(C356:O356)&lt;0,"negativa","n/d")))</f>
        <v>0.00321032430717426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customFormat="false" ht="15" hidden="false" customHeight="false" outlineLevel="0" collapsed="false">
      <c r="A360" s="3"/>
      <c r="B360" s="14" t="s">
        <v>425</v>
      </c>
      <c r="C360" s="48" t="n">
        <f aca="false">C356*(1+Premissas!$B$10)^2+D356*(1+Premissas!$B$10)+E356+NPV(Premissas!$B$10,F356:O356)</f>
        <v>-18303451.6916471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customFormat="false" ht="15" hidden="false" customHeight="false" outlineLevel="0" collapsed="false">
      <c r="A361" s="3"/>
      <c r="B361" s="14" t="s">
        <v>426</v>
      </c>
      <c r="C361" s="49" t="str">
        <f aca="false">IF(SUM(F358:O358)=0,"&gt; 10",SUM(F358:O358))</f>
        <v>&gt; 10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customFormat="false" ht="15" hidden="false" customHeight="false" outlineLevel="0" collapsed="false">
      <c r="A362" s="3"/>
      <c r="B362" s="14" t="s">
        <v>427</v>
      </c>
      <c r="C362" s="47" t="n">
        <f aca="false">SUM(C356:O356)/-SUM(C354:E354)</f>
        <v>0.0287563031993031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customFormat="false" ht="15" hidden="false" customHeight="false" outlineLevel="0" collapsed="false">
      <c r="A363" s="3"/>
      <c r="B363" s="14" t="s">
        <v>428</v>
      </c>
      <c r="C363" s="47" t="n">
        <f aca="false">AVERAGE(F350:O350)*(1-Premissas!$B$11)/-SUM(C354:E354)</f>
        <v>0.0202040703877935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customFormat="false" ht="15" hidden="false" customHeight="false" outlineLevel="0" collapsed="false">
      <c r="A364" s="3"/>
      <c r="B364" s="14" t="s">
        <v>429</v>
      </c>
      <c r="C364" s="48" t="n">
        <f aca="false">H347</f>
        <v>2031811.15393957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customFormat="false" ht="15" hidden="false" customHeight="false" outlineLevel="0" collapsed="false">
      <c r="A365" s="3"/>
      <c r="B365" s="14" t="s">
        <v>430</v>
      </c>
      <c r="C365" s="48" t="n">
        <f aca="false">H344</f>
        <v>5621226.1775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customFormat="false" ht="15" hidden="false" customHeight="false" outlineLevel="0" collapsed="false">
      <c r="A366" s="3"/>
      <c r="B366" s="14" t="s">
        <v>431</v>
      </c>
      <c r="C366" s="47" t="n">
        <f aca="false">H348</f>
        <v>0.361453371521016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customFormat="false" ht="15" hidden="false" customHeight="false" outlineLevel="0" collapsed="false">
      <c r="A367" s="3"/>
      <c r="B367" s="14" t="s">
        <v>432</v>
      </c>
      <c r="C367" s="48" t="n">
        <f aca="false">-(H345+H346)</f>
        <v>3589415.02356043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customFormat="false" ht="15" hidden="false" customHeight="false" outlineLevel="0" collapsed="false">
      <c r="A368" s="3"/>
      <c r="B368" s="14" t="s">
        <v>433</v>
      </c>
      <c r="C368" s="50" t="n">
        <f aca="false">IFERROR(-H346/((H344+H345)/H334),"n/d")</f>
        <v>16.6931176961848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customFormat="false" ht="15" hidden="false" customHeight="false" outlineLevel="0" collapsed="false">
      <c r="A369" s="3"/>
      <c r="B369" s="14" t="s">
        <v>434</v>
      </c>
      <c r="C369" s="48" t="n">
        <f aca="false">-SUM(C354:E354)</f>
        <v>31940000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customFormat="false" ht="15" hidden="false" customHeight="false" outlineLevel="0" collapsed="false">
      <c r="A370" s="3"/>
      <c r="B370" s="14" t="s">
        <v>435</v>
      </c>
      <c r="C370" s="48" t="n">
        <f aca="false">O355</f>
        <v>20761000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customFormat="false" ht="15" hidden="false" customHeight="false" outlineLevel="0" collapsed="false">
      <c r="A373" s="3"/>
      <c r="B373" s="19" t="s">
        <v>444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customFormat="false" ht="15" hidden="false" customHeight="false" outlineLevel="0" collapsed="false">
      <c r="A374" s="3"/>
      <c r="B374" s="14" t="s">
        <v>398</v>
      </c>
      <c r="C374" s="44" t="n">
        <v>-2</v>
      </c>
      <c r="D374" s="44" t="n">
        <v>-1</v>
      </c>
      <c r="E374" s="44" t="n">
        <v>0</v>
      </c>
      <c r="F374" s="44" t="n">
        <v>1</v>
      </c>
      <c r="G374" s="44" t="n">
        <v>2</v>
      </c>
      <c r="H374" s="44" t="n">
        <v>3</v>
      </c>
      <c r="I374" s="44" t="n">
        <v>4</v>
      </c>
      <c r="J374" s="44" t="n">
        <v>5</v>
      </c>
      <c r="K374" s="44" t="n">
        <v>6</v>
      </c>
      <c r="L374" s="44" t="n">
        <v>7</v>
      </c>
      <c r="M374" s="44" t="n">
        <v>8</v>
      </c>
      <c r="N374" s="44" t="n">
        <v>9</v>
      </c>
      <c r="O374" s="44" t="n">
        <v>10</v>
      </c>
      <c r="P374" s="3"/>
    </row>
    <row r="375" customFormat="false" ht="15" hidden="false" customHeight="false" outlineLevel="0" collapsed="false">
      <c r="A375" s="3"/>
      <c r="B375" s="4" t="s">
        <v>399</v>
      </c>
      <c r="C375" s="39" t="n">
        <f aca="false">IF(C$374&gt;=1,Premissas!$B$29*IF(C$374=1,Premissas!$B$37,1),0)</f>
        <v>0</v>
      </c>
      <c r="D375" s="39" t="n">
        <f aca="false">IF(D$374&gt;=1,Premissas!$B$29*IF(D$374=1,Premissas!$B$37,1),0)</f>
        <v>0</v>
      </c>
      <c r="E375" s="39" t="n">
        <f aca="false">IF(E$374&gt;=1,Premissas!$B$29*IF(E$374=1,Premissas!$B$37,1),0)</f>
        <v>0</v>
      </c>
      <c r="F375" s="39" t="n">
        <f aca="false">IF(F$374&gt;=1,Premissas!$B$29*IF(F$374=1,Premissas!$B$37,1),0)</f>
        <v>15</v>
      </c>
      <c r="G375" s="39" t="n">
        <f aca="false">IF(G$374&gt;=1,Premissas!$B$29*IF(G$374=1,Premissas!$B$37,1),0)</f>
        <v>20</v>
      </c>
      <c r="H375" s="39" t="n">
        <f aca="false">IF(H$374&gt;=1,Premissas!$B$29*IF(H$374=1,Premissas!$B$37,1),0)</f>
        <v>20</v>
      </c>
      <c r="I375" s="39" t="n">
        <f aca="false">IF(I$374&gt;=1,Premissas!$B$29*IF(I$374=1,Premissas!$B$37,1),0)</f>
        <v>20</v>
      </c>
      <c r="J375" s="39" t="n">
        <f aca="false">IF(J$374&gt;=1,Premissas!$B$29*IF(J$374=1,Premissas!$B$37,1),0)</f>
        <v>20</v>
      </c>
      <c r="K375" s="39" t="n">
        <f aca="false">IF(K$374&gt;=1,Premissas!$B$29*IF(K$374=1,Premissas!$B$37,1),0)</f>
        <v>20</v>
      </c>
      <c r="L375" s="39" t="n">
        <f aca="false">IF(L$374&gt;=1,Premissas!$B$29*IF(L$374=1,Premissas!$B$37,1),0)</f>
        <v>20</v>
      </c>
      <c r="M375" s="39" t="n">
        <f aca="false">IF(M$374&gt;=1,Premissas!$B$29*IF(M$374=1,Premissas!$B$37,1),0)</f>
        <v>20</v>
      </c>
      <c r="N375" s="39" t="n">
        <f aca="false">IF(N$374&gt;=1,Premissas!$B$29*IF(N$374=1,Premissas!$B$37,1),0)</f>
        <v>20</v>
      </c>
      <c r="O375" s="39" t="n">
        <f aca="false">IF(O$374&gt;=1,Premissas!$B$29*IF(O$374=1,Premissas!$B$37,1),0)</f>
        <v>20</v>
      </c>
      <c r="P375" s="3"/>
    </row>
    <row r="376" customFormat="false" ht="15" hidden="false" customHeight="false" outlineLevel="0" collapsed="false">
      <c r="A376" s="3"/>
      <c r="B376" s="4" t="s">
        <v>400</v>
      </c>
      <c r="C376" s="39" t="n">
        <f aca="false">MIN(C375,Premissas!$B$30)</f>
        <v>0</v>
      </c>
      <c r="D376" s="39" t="n">
        <f aca="false">MIN(D375,Premissas!$B$30)</f>
        <v>0</v>
      </c>
      <c r="E376" s="39" t="n">
        <f aca="false">MIN(E375,Premissas!$B$30)</f>
        <v>0</v>
      </c>
      <c r="F376" s="39" t="n">
        <f aca="false">MIN(F375,Premissas!$B$30)</f>
        <v>6</v>
      </c>
      <c r="G376" s="39" t="n">
        <f aca="false">MIN(G375,Premissas!$B$30)</f>
        <v>6</v>
      </c>
      <c r="H376" s="39" t="n">
        <f aca="false">MIN(H375,Premissas!$B$30)</f>
        <v>6</v>
      </c>
      <c r="I376" s="39" t="n">
        <f aca="false">MIN(I375,Premissas!$B$30)</f>
        <v>6</v>
      </c>
      <c r="J376" s="39" t="n">
        <f aca="false">MIN(J375,Premissas!$B$30)</f>
        <v>6</v>
      </c>
      <c r="K376" s="39" t="n">
        <f aca="false">MIN(K375,Premissas!$B$30)</f>
        <v>6</v>
      </c>
      <c r="L376" s="39" t="n">
        <f aca="false">MIN(L375,Premissas!$B$30)</f>
        <v>6</v>
      </c>
      <c r="M376" s="39" t="n">
        <f aca="false">MIN(M375,Premissas!$B$30)</f>
        <v>6</v>
      </c>
      <c r="N376" s="39" t="n">
        <f aca="false">MIN(N375,Premissas!$B$30)</f>
        <v>6</v>
      </c>
      <c r="O376" s="39" t="n">
        <f aca="false">MIN(O375,Premissas!$B$30)</f>
        <v>6</v>
      </c>
      <c r="P376" s="3"/>
    </row>
    <row r="377" customFormat="false" ht="15" hidden="false" customHeight="false" outlineLevel="0" collapsed="false">
      <c r="A377" s="3"/>
      <c r="B377" s="4" t="s">
        <v>401</v>
      </c>
      <c r="C377" s="39" t="n">
        <f aca="false">MIN(C375-C376,Premissas!$B$31)</f>
        <v>0</v>
      </c>
      <c r="D377" s="39" t="n">
        <f aca="false">MIN(D375-D376,Premissas!$B$31)</f>
        <v>0</v>
      </c>
      <c r="E377" s="39" t="n">
        <f aca="false">MIN(E375-E376,Premissas!$B$31)</f>
        <v>0</v>
      </c>
      <c r="F377" s="39" t="n">
        <f aca="false">MIN(F375-F376,Premissas!$B$31)</f>
        <v>4</v>
      </c>
      <c r="G377" s="39" t="n">
        <f aca="false">MIN(G375-G376,Premissas!$B$31)</f>
        <v>4</v>
      </c>
      <c r="H377" s="39" t="n">
        <f aca="false">MIN(H375-H376,Premissas!$B$31)</f>
        <v>4</v>
      </c>
      <c r="I377" s="39" t="n">
        <f aca="false">MIN(I375-I376,Premissas!$B$31)</f>
        <v>4</v>
      </c>
      <c r="J377" s="39" t="n">
        <f aca="false">MIN(J375-J376,Premissas!$B$31)</f>
        <v>4</v>
      </c>
      <c r="K377" s="39" t="n">
        <f aca="false">MIN(K375-K376,Premissas!$B$31)</f>
        <v>4</v>
      </c>
      <c r="L377" s="39" t="n">
        <f aca="false">MIN(L375-L376,Premissas!$B$31)</f>
        <v>4</v>
      </c>
      <c r="M377" s="39" t="n">
        <f aca="false">MIN(M375-M376,Premissas!$B$31)</f>
        <v>4</v>
      </c>
      <c r="N377" s="39" t="n">
        <f aca="false">MIN(N375-N376,Premissas!$B$31)</f>
        <v>4</v>
      </c>
      <c r="O377" s="39" t="n">
        <f aca="false">MIN(O375-O376,Premissas!$B$31)</f>
        <v>4</v>
      </c>
      <c r="P377" s="3"/>
    </row>
    <row r="378" customFormat="false" ht="15" hidden="false" customHeight="false" outlineLevel="0" collapsed="false">
      <c r="A378" s="3"/>
      <c r="B378" s="4" t="s">
        <v>402</v>
      </c>
      <c r="C378" s="39" t="n">
        <f aca="false">C375-C376-C377</f>
        <v>0</v>
      </c>
      <c r="D378" s="39" t="n">
        <f aca="false">D375-D376-D377</f>
        <v>0</v>
      </c>
      <c r="E378" s="39" t="n">
        <f aca="false">E375-E376-E377</f>
        <v>0</v>
      </c>
      <c r="F378" s="39" t="n">
        <f aca="false">F375-F376-F377</f>
        <v>5</v>
      </c>
      <c r="G378" s="39" t="n">
        <f aca="false">G375-G376-G377</f>
        <v>10</v>
      </c>
      <c r="H378" s="39" t="n">
        <f aca="false">H375-H376-H377</f>
        <v>10</v>
      </c>
      <c r="I378" s="39" t="n">
        <f aca="false">I375-I376-I377</f>
        <v>10</v>
      </c>
      <c r="J378" s="39" t="n">
        <f aca="false">J375-J376-J377</f>
        <v>10</v>
      </c>
      <c r="K378" s="39" t="n">
        <f aca="false">K375-K376-K377</f>
        <v>10</v>
      </c>
      <c r="L378" s="39" t="n">
        <f aca="false">L375-L376-L377</f>
        <v>10</v>
      </c>
      <c r="M378" s="39" t="n">
        <f aca="false">M375-M376-M377</f>
        <v>10</v>
      </c>
      <c r="N378" s="39" t="n">
        <f aca="false">N375-N376-N377</f>
        <v>10</v>
      </c>
      <c r="O378" s="39" t="n">
        <f aca="false">O375-O376-O377</f>
        <v>10</v>
      </c>
      <c r="P378" s="3"/>
    </row>
    <row r="379" customFormat="false" ht="15" hidden="false" customHeight="false" outlineLevel="0" collapsed="false">
      <c r="A379" s="3"/>
      <c r="B379" s="4" t="s">
        <v>403</v>
      </c>
      <c r="C379" s="45" t="n">
        <f aca="false">IF(C$374&gt;=1,(1+Premissas!$B$8)^(C$374-1),0)</f>
        <v>0</v>
      </c>
      <c r="D379" s="45" t="n">
        <f aca="false">IF(D$374&gt;=1,(1+Premissas!$B$8)^(D$374-1),0)</f>
        <v>0</v>
      </c>
      <c r="E379" s="45" t="n">
        <f aca="false">IF(E$374&gt;=1,(1+Premissas!$B$8)^(E$374-1),0)</f>
        <v>0</v>
      </c>
      <c r="F379" s="45" t="n">
        <f aca="false">IF(F$374&gt;=1,(1+Premissas!$B$8)^(F$374-1),0)</f>
        <v>1</v>
      </c>
      <c r="G379" s="45" t="n">
        <f aca="false">IF(G$374&gt;=1,(1+Premissas!$B$8)^(G$374-1),0)</f>
        <v>1.025</v>
      </c>
      <c r="H379" s="45" t="n">
        <f aca="false">IF(H$374&gt;=1,(1+Premissas!$B$8)^(H$374-1),0)</f>
        <v>1.050625</v>
      </c>
      <c r="I379" s="45" t="n">
        <f aca="false">IF(I$374&gt;=1,(1+Premissas!$B$8)^(I$374-1),0)</f>
        <v>1.076890625</v>
      </c>
      <c r="J379" s="45" t="n">
        <f aca="false">IF(J$374&gt;=1,(1+Premissas!$B$8)^(J$374-1),0)</f>
        <v>1.103812890625</v>
      </c>
      <c r="K379" s="45" t="n">
        <f aca="false">IF(K$374&gt;=1,(1+Premissas!$B$8)^(K$374-1),0)</f>
        <v>1.13140821289062</v>
      </c>
      <c r="L379" s="45" t="n">
        <f aca="false">IF(L$374&gt;=1,(1+Premissas!$B$8)^(L$374-1),0)</f>
        <v>1.15969341821289</v>
      </c>
      <c r="M379" s="45" t="n">
        <f aca="false">IF(M$374&gt;=1,(1+Premissas!$B$8)^(M$374-1),0)</f>
        <v>1.18868575366821</v>
      </c>
      <c r="N379" s="45" t="n">
        <f aca="false">IF(N$374&gt;=1,(1+Premissas!$B$8)^(N$374-1),0)</f>
        <v>1.21840289750992</v>
      </c>
      <c r="O379" s="45" t="n">
        <f aca="false">IF(O$374&gt;=1,(1+Premissas!$B$8)^(O$374-1),0)</f>
        <v>1.24886296994767</v>
      </c>
      <c r="P379" s="3"/>
    </row>
    <row r="380" customFormat="false" ht="15" hidden="false" customHeight="false" outlineLevel="0" collapsed="false">
      <c r="A380" s="3"/>
      <c r="B380" s="4" t="s">
        <v>404</v>
      </c>
      <c r="C380" s="45" t="n">
        <f aca="false">IF(C$374&gt;=1,(1+Premissas!$B$9)^(C$374-1),0)</f>
        <v>0</v>
      </c>
      <c r="D380" s="45" t="n">
        <f aca="false">IF(D$374&gt;=1,(1+Premissas!$B$9)^(D$374-1),0)</f>
        <v>0</v>
      </c>
      <c r="E380" s="45" t="n">
        <f aca="false">IF(E$374&gt;=1,(1+Premissas!$B$9)^(E$374-1),0)</f>
        <v>0</v>
      </c>
      <c r="F380" s="45" t="n">
        <f aca="false">IF(F$374&gt;=1,(1+Premissas!$B$9)^(F$374-1),0)</f>
        <v>1</v>
      </c>
      <c r="G380" s="45" t="n">
        <f aca="false">IF(G$374&gt;=1,(1+Premissas!$B$9)^(G$374-1),0)</f>
        <v>1.03</v>
      </c>
      <c r="H380" s="45" t="n">
        <f aca="false">IF(H$374&gt;=1,(1+Premissas!$B$9)^(H$374-1),0)</f>
        <v>1.0609</v>
      </c>
      <c r="I380" s="45" t="n">
        <f aca="false">IF(I$374&gt;=1,(1+Premissas!$B$9)^(I$374-1),0)</f>
        <v>1.092727</v>
      </c>
      <c r="J380" s="45" t="n">
        <f aca="false">IF(J$374&gt;=1,(1+Premissas!$B$9)^(J$374-1),0)</f>
        <v>1.12550881</v>
      </c>
      <c r="K380" s="45" t="n">
        <f aca="false">IF(K$374&gt;=1,(1+Premissas!$B$9)^(K$374-1),0)</f>
        <v>1.1592740743</v>
      </c>
      <c r="L380" s="45" t="n">
        <f aca="false">IF(L$374&gt;=1,(1+Premissas!$B$9)^(L$374-1),0)</f>
        <v>1.194052296529</v>
      </c>
      <c r="M380" s="45" t="n">
        <f aca="false">IF(M$374&gt;=1,(1+Premissas!$B$9)^(M$374-1),0)</f>
        <v>1.22987386542487</v>
      </c>
      <c r="N380" s="45" t="n">
        <f aca="false">IF(N$374&gt;=1,(1+Premissas!$B$9)^(N$374-1),0)</f>
        <v>1.26677008138762</v>
      </c>
      <c r="O380" s="45" t="n">
        <f aca="false">IF(O$374&gt;=1,(1+Premissas!$B$9)^(O$374-1),0)</f>
        <v>1.30477318382925</v>
      </c>
      <c r="P380" s="3"/>
    </row>
    <row r="381" customFormat="false" ht="15" hidden="false" customHeight="false" outlineLevel="0" collapsed="false">
      <c r="A381" s="3"/>
      <c r="B381" s="4" t="s">
        <v>405</v>
      </c>
      <c r="C381" s="36" t="n">
        <f aca="false">C376*Premissas!$E$77*Premissas!$B$32*C379</f>
        <v>0</v>
      </c>
      <c r="D381" s="36" t="n">
        <f aca="false">D376*Premissas!$E$77*Premissas!$B$32*D379</f>
        <v>0</v>
      </c>
      <c r="E381" s="36" t="n">
        <f aca="false">E376*Premissas!$E$77*Premissas!$B$32*E379</f>
        <v>0</v>
      </c>
      <c r="F381" s="36" t="n">
        <f aca="false">F376*Premissas!$E$77*Premissas!$B$32*F379</f>
        <v>810000</v>
      </c>
      <c r="G381" s="36" t="n">
        <f aca="false">G376*Premissas!$E$77*Premissas!$B$32*G379</f>
        <v>830250</v>
      </c>
      <c r="H381" s="36" t="n">
        <f aca="false">H376*Premissas!$E$77*Premissas!$B$32*H379</f>
        <v>851006.25</v>
      </c>
      <c r="I381" s="36" t="n">
        <f aca="false">I376*Premissas!$E$77*Premissas!$B$32*I379</f>
        <v>872281.40625</v>
      </c>
      <c r="J381" s="36" t="n">
        <f aca="false">J376*Premissas!$E$77*Premissas!$B$32*J379</f>
        <v>894088.44140625</v>
      </c>
      <c r="K381" s="36" t="n">
        <f aca="false">K376*Premissas!$E$77*Premissas!$B$32*K379</f>
        <v>916440.652441406</v>
      </c>
      <c r="L381" s="36" t="n">
        <f aca="false">L376*Premissas!$E$77*Premissas!$B$32*L379</f>
        <v>939351.668752441</v>
      </c>
      <c r="M381" s="36" t="n">
        <f aca="false">M376*Premissas!$E$77*Premissas!$B$32*M379</f>
        <v>962835.460471252</v>
      </c>
      <c r="N381" s="36" t="n">
        <f aca="false">N376*Premissas!$E$77*Premissas!$B$32*N379</f>
        <v>986906.346983033</v>
      </c>
      <c r="O381" s="36" t="n">
        <f aca="false">O376*Premissas!$E$77*Premissas!$B$32*O379</f>
        <v>1011579.00565761</v>
      </c>
      <c r="P381" s="3"/>
    </row>
    <row r="382" customFormat="false" ht="15" hidden="false" customHeight="false" outlineLevel="0" collapsed="false">
      <c r="A382" s="3"/>
      <c r="B382" s="4" t="s">
        <v>406</v>
      </c>
      <c r="C382" s="36" t="n">
        <f aca="false">C378*Premissas!$E$77*Premissas!$B$32*(1-Premissas!$B$12)*C379</f>
        <v>0</v>
      </c>
      <c r="D382" s="36" t="n">
        <f aca="false">D378*Premissas!$E$77*Premissas!$B$32*(1-Premissas!$B$12)*D379</f>
        <v>0</v>
      </c>
      <c r="E382" s="36" t="n">
        <f aca="false">E378*Premissas!$E$77*Premissas!$B$32*(1-Premissas!$B$12)*E379</f>
        <v>0</v>
      </c>
      <c r="F382" s="36" t="n">
        <f aca="false">F378*Premissas!$E$77*Premissas!$B$32*(1-Premissas!$B$12)*F379</f>
        <v>573750</v>
      </c>
      <c r="G382" s="36" t="n">
        <f aca="false">G378*Premissas!$E$77*Premissas!$B$32*(1-Premissas!$B$12)*G379</f>
        <v>1176187.5</v>
      </c>
      <c r="H382" s="36" t="n">
        <f aca="false">H378*Premissas!$E$77*Premissas!$B$32*(1-Premissas!$B$12)*H379</f>
        <v>1205592.1875</v>
      </c>
      <c r="I382" s="36" t="n">
        <f aca="false">I378*Premissas!$E$77*Premissas!$B$32*(1-Premissas!$B$12)*I379</f>
        <v>1235731.9921875</v>
      </c>
      <c r="J382" s="36" t="n">
        <f aca="false">J378*Premissas!$E$77*Premissas!$B$32*(1-Premissas!$B$12)*J379</f>
        <v>1266625.29199219</v>
      </c>
      <c r="K382" s="36" t="n">
        <f aca="false">K378*Premissas!$E$77*Premissas!$B$32*(1-Premissas!$B$12)*K379</f>
        <v>1298290.92429199</v>
      </c>
      <c r="L382" s="36" t="n">
        <f aca="false">L378*Premissas!$E$77*Premissas!$B$32*(1-Premissas!$B$12)*L379</f>
        <v>1330748.19739929</v>
      </c>
      <c r="M382" s="36" t="n">
        <f aca="false">M378*Premissas!$E$77*Premissas!$B$32*(1-Premissas!$B$12)*M379</f>
        <v>1364016.90233427</v>
      </c>
      <c r="N382" s="36" t="n">
        <f aca="false">N378*Premissas!$E$77*Premissas!$B$32*(1-Premissas!$B$12)*N379</f>
        <v>1398117.32489263</v>
      </c>
      <c r="O382" s="36" t="n">
        <f aca="false">O378*Premissas!$E$77*Premissas!$B$32*(1-Premissas!$B$12)*O379</f>
        <v>1433070.25801495</v>
      </c>
      <c r="P382" s="3"/>
    </row>
    <row r="383" customFormat="false" ht="15" hidden="false" customHeight="false" outlineLevel="0" collapsed="false">
      <c r="A383" s="3"/>
      <c r="B383" s="4" t="s">
        <v>407</v>
      </c>
      <c r="C383" s="36" t="n">
        <f aca="false">C377*Premissas!$E$44*Premissas!$B$38*Premissas!$E$78*Premissas!$B$32*(1-Premissas!$B$12)*C379</f>
        <v>0</v>
      </c>
      <c r="D383" s="36" t="n">
        <f aca="false">D377*Premissas!$E$44*Premissas!$B$38*Premissas!$E$78*Premissas!$B$32*(1-Premissas!$B$12)*D379</f>
        <v>0</v>
      </c>
      <c r="E383" s="36" t="n">
        <f aca="false">E377*Premissas!$E$44*Premissas!$B$38*Premissas!$E$78*Premissas!$B$32*(1-Premissas!$B$12)*E379</f>
        <v>0</v>
      </c>
      <c r="F383" s="36" t="n">
        <f aca="false">F377*Premissas!$E$44*Premissas!$B$38*Premissas!$E$78*Premissas!$B$32*(1-Premissas!$B$12)*F379</f>
        <v>381888</v>
      </c>
      <c r="G383" s="36" t="n">
        <f aca="false">G377*Premissas!$E$44*Premissas!$B$38*Premissas!$E$78*Premissas!$B$32*(1-Premissas!$B$12)*G379</f>
        <v>391435.2</v>
      </c>
      <c r="H383" s="36" t="n">
        <f aca="false">H377*Premissas!$E$44*Premissas!$B$38*Premissas!$E$78*Premissas!$B$32*(1-Premissas!$B$12)*H379</f>
        <v>401221.08</v>
      </c>
      <c r="I383" s="36" t="n">
        <f aca="false">I377*Premissas!$E$44*Premissas!$B$38*Premissas!$E$78*Premissas!$B$32*(1-Premissas!$B$12)*I379</f>
        <v>411251.607</v>
      </c>
      <c r="J383" s="36" t="n">
        <f aca="false">J377*Premissas!$E$44*Premissas!$B$38*Premissas!$E$78*Premissas!$B$32*(1-Premissas!$B$12)*J379</f>
        <v>421532.897175</v>
      </c>
      <c r="K383" s="36" t="n">
        <f aca="false">K377*Premissas!$E$44*Premissas!$B$38*Premissas!$E$78*Premissas!$B$32*(1-Premissas!$B$12)*K379</f>
        <v>432071.219604375</v>
      </c>
      <c r="L383" s="36" t="n">
        <f aca="false">L377*Premissas!$E$44*Premissas!$B$38*Premissas!$E$78*Premissas!$B$32*(1-Premissas!$B$12)*L379</f>
        <v>442873.000094484</v>
      </c>
      <c r="M383" s="36" t="n">
        <f aca="false">M377*Premissas!$E$44*Premissas!$B$38*Premissas!$E$78*Premissas!$B$32*(1-Premissas!$B$12)*M379</f>
        <v>453944.825096846</v>
      </c>
      <c r="N383" s="36" t="n">
        <f aca="false">N377*Premissas!$E$44*Premissas!$B$38*Premissas!$E$78*Premissas!$B$32*(1-Premissas!$B$12)*N379</f>
        <v>465293.445724267</v>
      </c>
      <c r="O383" s="36" t="n">
        <f aca="false">O377*Premissas!$E$44*Premissas!$B$38*Premissas!$E$78*Premissas!$B$32*(1-Premissas!$B$12)*O379</f>
        <v>476925.781867374</v>
      </c>
      <c r="P383" s="3"/>
    </row>
    <row r="384" customFormat="false" ht="15" hidden="false" customHeight="false" outlineLevel="0" collapsed="false">
      <c r="A384" s="3"/>
      <c r="B384" s="4" t="s">
        <v>408</v>
      </c>
      <c r="C384" s="36" t="n">
        <f aca="false">C375*Premissas!$E$44*Premissas!$B$14*Premissas!$B$13*C379</f>
        <v>0</v>
      </c>
      <c r="D384" s="36" t="n">
        <f aca="false">D375*Premissas!$E$44*Premissas!$B$14*Premissas!$B$13*D379</f>
        <v>0</v>
      </c>
      <c r="E384" s="36" t="n">
        <f aca="false">E375*Premissas!$E$44*Premissas!$B$14*Premissas!$B$13*E379</f>
        <v>0</v>
      </c>
      <c r="F384" s="36" t="n">
        <f aca="false">F375*Premissas!$E$44*Premissas!$B$14*Premissas!$B$13*F379</f>
        <v>97200</v>
      </c>
      <c r="G384" s="36" t="n">
        <f aca="false">G375*Premissas!$E$44*Premissas!$B$14*Premissas!$B$13*G379</f>
        <v>132840</v>
      </c>
      <c r="H384" s="36" t="n">
        <f aca="false">H375*Premissas!$E$44*Premissas!$B$14*Premissas!$B$13*H379</f>
        <v>136161</v>
      </c>
      <c r="I384" s="36" t="n">
        <f aca="false">I375*Premissas!$E$44*Premissas!$B$14*Premissas!$B$13*I379</f>
        <v>139565.025</v>
      </c>
      <c r="J384" s="36" t="n">
        <f aca="false">J375*Premissas!$E$44*Premissas!$B$14*Premissas!$B$13*J379</f>
        <v>143054.150625</v>
      </c>
      <c r="K384" s="36" t="n">
        <f aca="false">K375*Premissas!$E$44*Premissas!$B$14*Premissas!$B$13*K379</f>
        <v>146630.504390625</v>
      </c>
      <c r="L384" s="36" t="n">
        <f aca="false">L375*Premissas!$E$44*Premissas!$B$14*Premissas!$B$13*L379</f>
        <v>150296.267000391</v>
      </c>
      <c r="M384" s="36" t="n">
        <f aca="false">M375*Premissas!$E$44*Premissas!$B$14*Premissas!$B$13*M379</f>
        <v>154053.6736754</v>
      </c>
      <c r="N384" s="36" t="n">
        <f aca="false">N375*Premissas!$E$44*Premissas!$B$14*Premissas!$B$13*N379</f>
        <v>157905.015517285</v>
      </c>
      <c r="O384" s="36" t="n">
        <f aca="false">O375*Premissas!$E$44*Premissas!$B$14*Premissas!$B$13*O379</f>
        <v>161852.640905217</v>
      </c>
      <c r="P384" s="3"/>
    </row>
    <row r="385" customFormat="false" ht="15" hidden="false" customHeight="false" outlineLevel="0" collapsed="false">
      <c r="A385" s="3"/>
      <c r="B385" s="14" t="s">
        <v>409</v>
      </c>
      <c r="C385" s="33" t="n">
        <f aca="false">SUM(C381:C384)</f>
        <v>0</v>
      </c>
      <c r="D385" s="33" t="n">
        <f aca="false">SUM(D381:D384)</f>
        <v>0</v>
      </c>
      <c r="E385" s="33" t="n">
        <f aca="false">SUM(E381:E384)</f>
        <v>0</v>
      </c>
      <c r="F385" s="33" t="n">
        <f aca="false">SUM(F381:F384)</f>
        <v>1862838</v>
      </c>
      <c r="G385" s="33" t="n">
        <f aca="false">SUM(G381:G384)</f>
        <v>2530712.7</v>
      </c>
      <c r="H385" s="33" t="n">
        <f aca="false">SUM(H381:H384)</f>
        <v>2593980.5175</v>
      </c>
      <c r="I385" s="33" t="n">
        <f aca="false">SUM(I381:I384)</f>
        <v>2658830.0304375</v>
      </c>
      <c r="J385" s="33" t="n">
        <f aca="false">SUM(J381:J384)</f>
        <v>2725300.78119844</v>
      </c>
      <c r="K385" s="33" t="n">
        <f aca="false">SUM(K381:K384)</f>
        <v>2793433.3007284</v>
      </c>
      <c r="L385" s="33" t="n">
        <f aca="false">SUM(L381:L384)</f>
        <v>2863269.13324661</v>
      </c>
      <c r="M385" s="33" t="n">
        <f aca="false">SUM(M381:M384)</f>
        <v>2934850.86157777</v>
      </c>
      <c r="N385" s="33" t="n">
        <f aca="false">SUM(N381:N384)</f>
        <v>3008222.13311722</v>
      </c>
      <c r="O385" s="33" t="n">
        <f aca="false">SUM(O381:O384)</f>
        <v>3083427.68644515</v>
      </c>
      <c r="P385" s="3"/>
    </row>
    <row r="386" customFormat="false" ht="15" hidden="false" customHeight="false" outlineLevel="0" collapsed="false">
      <c r="A386" s="3"/>
      <c r="B386" s="4" t="s">
        <v>410</v>
      </c>
      <c r="C386" s="36" t="n">
        <f aca="false">-C375*(Premissas!$E$70*Premissas!$B$34/Premissas!$B$6+Premissas!$E$75)*Premissas!$B$33*C380</f>
        <v>-0</v>
      </c>
      <c r="D386" s="36" t="n">
        <f aca="false">-D375*(Premissas!$E$70*Premissas!$B$34/Premissas!$B$6+Premissas!$E$75)*Premissas!$B$33*D380</f>
        <v>-0</v>
      </c>
      <c r="E386" s="36" t="n">
        <f aca="false">-E375*(Premissas!$E$70*Premissas!$B$34/Premissas!$B$6+Premissas!$E$75)*Premissas!$B$33*E380</f>
        <v>-0</v>
      </c>
      <c r="F386" s="36" t="n">
        <f aca="false">-F375*(Premissas!$E$70*Premissas!$B$34/Premissas!$B$6+Premissas!$E$75)*Premissas!$B$33*F380</f>
        <v>-735719.217391305</v>
      </c>
      <c r="G386" s="36" t="n">
        <f aca="false">-G375*(Premissas!$E$70*Premissas!$B$34/Premissas!$B$6+Premissas!$E$75)*Premissas!$B$33*G380</f>
        <v>-1010387.72521739</v>
      </c>
      <c r="H386" s="36" t="n">
        <f aca="false">-H375*(Premissas!$E$70*Premissas!$B$34/Premissas!$B$6+Premissas!$E$75)*Premissas!$B$33*H380</f>
        <v>-1040699.35697391</v>
      </c>
      <c r="I386" s="36" t="n">
        <f aca="false">-I375*(Premissas!$E$70*Premissas!$B$34/Premissas!$B$6+Premissas!$E$75)*Premissas!$B$33*I380</f>
        <v>-1071920.33768313</v>
      </c>
      <c r="J386" s="36" t="n">
        <f aca="false">-J375*(Premissas!$E$70*Premissas!$B$34/Premissas!$B$6+Premissas!$E$75)*Premissas!$B$33*J380</f>
        <v>-1104077.94781362</v>
      </c>
      <c r="K386" s="36" t="n">
        <f aca="false">-K375*(Premissas!$E$70*Premissas!$B$34/Premissas!$B$6+Premissas!$E$75)*Premissas!$B$33*K380</f>
        <v>-1137200.28624803</v>
      </c>
      <c r="L386" s="36" t="n">
        <f aca="false">-L375*(Premissas!$E$70*Premissas!$B$34/Premissas!$B$6+Premissas!$E$75)*Premissas!$B$33*L380</f>
        <v>-1171316.29483547</v>
      </c>
      <c r="M386" s="36" t="n">
        <f aca="false">-M375*(Premissas!$E$70*Premissas!$B$34/Premissas!$B$6+Premissas!$E$75)*Premissas!$B$33*M380</f>
        <v>-1206455.78368054</v>
      </c>
      <c r="N386" s="36" t="n">
        <f aca="false">-N375*(Premissas!$E$70*Premissas!$B$34/Premissas!$B$6+Premissas!$E$75)*Premissas!$B$33*N380</f>
        <v>-1242649.45719096</v>
      </c>
      <c r="O386" s="36" t="n">
        <f aca="false">-O375*(Premissas!$E$70*Premissas!$B$34/Premissas!$B$6+Premissas!$E$75)*Premissas!$B$33*O380</f>
        <v>-1279928.94090668</v>
      </c>
      <c r="P386" s="3"/>
    </row>
    <row r="387" customFormat="false" ht="15" hidden="false" customHeight="false" outlineLevel="0" collapsed="false">
      <c r="A387" s="3"/>
      <c r="B387" s="4" t="s">
        <v>411</v>
      </c>
      <c r="C387" s="36" t="n">
        <f aca="false">-IF(C$374&gt;=1,Premissas!$E$68*Premissas!$B$33*C380,0)</f>
        <v>-0</v>
      </c>
      <c r="D387" s="36" t="n">
        <f aca="false">-IF(D$374&gt;=1,Premissas!$E$68*Premissas!$B$33*D380,0)</f>
        <v>-0</v>
      </c>
      <c r="E387" s="36" t="n">
        <f aca="false">-IF(E$374&gt;=1,Premissas!$E$68*Premissas!$B$33*E380,0)</f>
        <v>-0</v>
      </c>
      <c r="F387" s="36" t="n">
        <f aca="false">-IF(F$374&gt;=1,Premissas!$E$68*Premissas!$B$33*F380,0)</f>
        <v>-2753592.6</v>
      </c>
      <c r="G387" s="36" t="n">
        <f aca="false">-IF(G$374&gt;=1,Premissas!$E$68*Premissas!$B$33*G380,0)</f>
        <v>-2836200.378</v>
      </c>
      <c r="H387" s="36" t="n">
        <f aca="false">-IF(H$374&gt;=1,Premissas!$E$68*Premissas!$B$33*H380,0)</f>
        <v>-2921286.38934</v>
      </c>
      <c r="I387" s="36" t="n">
        <f aca="false">-IF(I$374&gt;=1,Premissas!$E$68*Premissas!$B$33*I380,0)</f>
        <v>-3008924.9810202</v>
      </c>
      <c r="J387" s="36" t="n">
        <f aca="false">-IF(J$374&gt;=1,Premissas!$E$68*Premissas!$B$33*J380,0)</f>
        <v>-3099192.73045081</v>
      </c>
      <c r="K387" s="36" t="n">
        <f aca="false">-IF(K$374&gt;=1,Premissas!$E$68*Premissas!$B$33*K380,0)</f>
        <v>-3192168.51236433</v>
      </c>
      <c r="L387" s="36" t="n">
        <f aca="false">-IF(L$374&gt;=1,Premissas!$E$68*Premissas!$B$33*L380,0)</f>
        <v>-3287933.56773526</v>
      </c>
      <c r="M387" s="36" t="n">
        <f aca="false">-IF(M$374&gt;=1,Premissas!$E$68*Premissas!$B$33*M380,0)</f>
        <v>-3386571.57476732</v>
      </c>
      <c r="N387" s="36" t="n">
        <f aca="false">-IF(N$374&gt;=1,Premissas!$E$68*Premissas!$B$33*N380,0)</f>
        <v>-3488168.72201034</v>
      </c>
      <c r="O387" s="36" t="n">
        <f aca="false">-IF(O$374&gt;=1,Premissas!$E$68*Premissas!$B$33*O380,0)</f>
        <v>-3592813.78367065</v>
      </c>
      <c r="P387" s="3"/>
    </row>
    <row r="388" customFormat="false" ht="15" hidden="false" customHeight="false" outlineLevel="0" collapsed="false">
      <c r="A388" s="3"/>
      <c r="B388" s="14" t="s">
        <v>412</v>
      </c>
      <c r="C388" s="33" t="n">
        <f aca="false">C385+C386+C387</f>
        <v>0</v>
      </c>
      <c r="D388" s="33" t="n">
        <f aca="false">D385+D386+D387</f>
        <v>0</v>
      </c>
      <c r="E388" s="33" t="n">
        <f aca="false">E385+E386+E387</f>
        <v>0</v>
      </c>
      <c r="F388" s="33" t="n">
        <f aca="false">F385+F386+F387</f>
        <v>-1626473.8173913</v>
      </c>
      <c r="G388" s="33" t="n">
        <f aca="false">G385+G386+G387</f>
        <v>-1315875.40321739</v>
      </c>
      <c r="H388" s="33" t="n">
        <f aca="false">H385+H386+H387</f>
        <v>-1368005.22881391</v>
      </c>
      <c r="I388" s="33" t="n">
        <f aca="false">I385+I386+I387</f>
        <v>-1422015.28826583</v>
      </c>
      <c r="J388" s="33" t="n">
        <f aca="false">J385+J386+J387</f>
        <v>-1477969.897066</v>
      </c>
      <c r="K388" s="33" t="n">
        <f aca="false">K385+K386+K387</f>
        <v>-1535935.49788397</v>
      </c>
      <c r="L388" s="33" t="n">
        <f aca="false">L385+L386+L387</f>
        <v>-1595980.72932413</v>
      </c>
      <c r="M388" s="33" t="n">
        <f aca="false">M385+M386+M387</f>
        <v>-1658176.49687009</v>
      </c>
      <c r="N388" s="33" t="n">
        <f aca="false">N385+N386+N387</f>
        <v>-1722596.04608408</v>
      </c>
      <c r="O388" s="33" t="n">
        <f aca="false">O385+O386+O387</f>
        <v>-1789315.03813219</v>
      </c>
      <c r="P388" s="3"/>
    </row>
    <row r="389" customFormat="false" ht="15" hidden="false" customHeight="false" outlineLevel="0" collapsed="false">
      <c r="A389" s="3"/>
      <c r="B389" s="4" t="s">
        <v>413</v>
      </c>
      <c r="C389" s="42" t="n">
        <f aca="false">IF(C385=0,0,C388/C385)</f>
        <v>0</v>
      </c>
      <c r="D389" s="42" t="n">
        <f aca="false">IF(D385=0,0,D388/D385)</f>
        <v>0</v>
      </c>
      <c r="E389" s="42" t="n">
        <f aca="false">IF(E385=0,0,E388/E385)</f>
        <v>0</v>
      </c>
      <c r="F389" s="42" t="n">
        <f aca="false">IF(F385=0,0,F388/F385)</f>
        <v>-0.873116082767962</v>
      </c>
      <c r="G389" s="42" t="n">
        <f aca="false">IF(G385=0,0,G388/G385)</f>
        <v>-0.519962381829195</v>
      </c>
      <c r="H389" s="42" t="n">
        <f aca="false">IF(H385=0,0,H388/H385)</f>
        <v>-0.527376832472264</v>
      </c>
      <c r="I389" s="42" t="n">
        <f aca="false">IF(I385=0,0,I388/I385)</f>
        <v>-0.534827451167251</v>
      </c>
      <c r="J389" s="42" t="n">
        <f aca="false">IF(J385=0,0,J388/J385)</f>
        <v>-0.542314414343677</v>
      </c>
      <c r="K389" s="42" t="n">
        <f aca="false">IF(K385=0,0,K388/K385)</f>
        <v>-0.549837899291695</v>
      </c>
      <c r="L389" s="42" t="n">
        <f aca="false">IF(L385=0,0,L388/L385)</f>
        <v>-0.557398084166289</v>
      </c>
      <c r="M389" s="42" t="n">
        <f aca="false">IF(M385=0,0,M388/M385)</f>
        <v>-0.56499514799149</v>
      </c>
      <c r="N389" s="42" t="n">
        <f aca="false">IF(N385=0,0,N388/N385)</f>
        <v>-0.57262927066462</v>
      </c>
      <c r="O389" s="42" t="n">
        <f aca="false">IF(O385=0,0,O388/O385)</f>
        <v>-0.580300632960545</v>
      </c>
      <c r="P389" s="3"/>
    </row>
    <row r="390" customFormat="false" ht="15" hidden="false" customHeight="false" outlineLevel="0" collapsed="false">
      <c r="A390" s="3"/>
      <c r="B390" s="4" t="s">
        <v>414</v>
      </c>
      <c r="C390" s="36" t="n">
        <f aca="false">-IF(C$374&gt;=1,Premissas!$E$52*(1-Premissas!$B$36)/10,0)</f>
        <v>-0</v>
      </c>
      <c r="D390" s="36" t="n">
        <f aca="false">-IF(D$374&gt;=1,Premissas!$E$52*(1-Premissas!$B$36)/10,0)</f>
        <v>-0</v>
      </c>
      <c r="E390" s="36" t="n">
        <f aca="false">-IF(E$374&gt;=1,Premissas!$E$52*(1-Premissas!$B$36)/10,0)</f>
        <v>-0</v>
      </c>
      <c r="F390" s="36" t="n">
        <f aca="false">-IF(F$374&gt;=1,Premissas!$E$52*(1-Premissas!$B$36)/10,0)</f>
        <v>-636000</v>
      </c>
      <c r="G390" s="36" t="n">
        <f aca="false">-IF(G$374&gt;=1,Premissas!$E$52*(1-Premissas!$B$36)/10,0)</f>
        <v>-636000</v>
      </c>
      <c r="H390" s="36" t="n">
        <f aca="false">-IF(H$374&gt;=1,Premissas!$E$52*(1-Premissas!$B$36)/10,0)</f>
        <v>-636000</v>
      </c>
      <c r="I390" s="36" t="n">
        <f aca="false">-IF(I$374&gt;=1,Premissas!$E$52*(1-Premissas!$B$36)/10,0)</f>
        <v>-636000</v>
      </c>
      <c r="J390" s="36" t="n">
        <f aca="false">-IF(J$374&gt;=1,Premissas!$E$52*(1-Premissas!$B$36)/10,0)</f>
        <v>-636000</v>
      </c>
      <c r="K390" s="36" t="n">
        <f aca="false">-IF(K$374&gt;=1,Premissas!$E$52*(1-Premissas!$B$36)/10,0)</f>
        <v>-636000</v>
      </c>
      <c r="L390" s="36" t="n">
        <f aca="false">-IF(L$374&gt;=1,Premissas!$E$52*(1-Premissas!$B$36)/10,0)</f>
        <v>-636000</v>
      </c>
      <c r="M390" s="36" t="n">
        <f aca="false">-IF(M$374&gt;=1,Premissas!$E$52*(1-Premissas!$B$36)/10,0)</f>
        <v>-636000</v>
      </c>
      <c r="N390" s="36" t="n">
        <f aca="false">-IF(N$374&gt;=1,Premissas!$E$52*(1-Premissas!$B$36)/10,0)</f>
        <v>-636000</v>
      </c>
      <c r="O390" s="36" t="n">
        <f aca="false">-IF(O$374&gt;=1,Premissas!$E$52*(1-Premissas!$B$36)/10,0)</f>
        <v>-636000</v>
      </c>
      <c r="P390" s="3"/>
    </row>
    <row r="391" customFormat="false" ht="15" hidden="false" customHeight="false" outlineLevel="0" collapsed="false">
      <c r="A391" s="3"/>
      <c r="B391" s="14" t="s">
        <v>415</v>
      </c>
      <c r="C391" s="40" t="n">
        <f aca="false">C388+C390</f>
        <v>0</v>
      </c>
      <c r="D391" s="40" t="n">
        <f aca="false">D388+D390</f>
        <v>0</v>
      </c>
      <c r="E391" s="40" t="n">
        <f aca="false">E388+E390</f>
        <v>0</v>
      </c>
      <c r="F391" s="40" t="n">
        <f aca="false">F388+F390</f>
        <v>-2262473.8173913</v>
      </c>
      <c r="G391" s="40" t="n">
        <f aca="false">G388+G390</f>
        <v>-1951875.40321739</v>
      </c>
      <c r="H391" s="40" t="n">
        <f aca="false">H388+H390</f>
        <v>-2004005.22881391</v>
      </c>
      <c r="I391" s="40" t="n">
        <f aca="false">I388+I390</f>
        <v>-2058015.28826583</v>
      </c>
      <c r="J391" s="40" t="n">
        <f aca="false">J388+J390</f>
        <v>-2113969.897066</v>
      </c>
      <c r="K391" s="40" t="n">
        <f aca="false">K388+K390</f>
        <v>-2171935.49788397</v>
      </c>
      <c r="L391" s="40" t="n">
        <f aca="false">L388+L390</f>
        <v>-2231980.72932413</v>
      </c>
      <c r="M391" s="40" t="n">
        <f aca="false">M388+M390</f>
        <v>-2294176.49687009</v>
      </c>
      <c r="N391" s="40" t="n">
        <f aca="false">N388+N390</f>
        <v>-2358596.04608408</v>
      </c>
      <c r="O391" s="40" t="n">
        <f aca="false">O388+O390</f>
        <v>-2425315.03813219</v>
      </c>
      <c r="P391" s="3"/>
    </row>
    <row r="392" customFormat="false" ht="15" hidden="false" customHeight="false" outlineLevel="0" collapsed="false">
      <c r="A392" s="3"/>
      <c r="B392" s="4" t="s">
        <v>416</v>
      </c>
      <c r="C392" s="36" t="n">
        <f aca="false">-MAX(0,C391)*Premissas!$B$11</f>
        <v>-0</v>
      </c>
      <c r="D392" s="36" t="n">
        <f aca="false">-MAX(0,D391)*Premissas!$B$11</f>
        <v>-0</v>
      </c>
      <c r="E392" s="36" t="n">
        <f aca="false">-MAX(0,E391)*Premissas!$B$11</f>
        <v>-0</v>
      </c>
      <c r="F392" s="36" t="n">
        <f aca="false">-MAX(0,F391)*Premissas!$B$11</f>
        <v>-0</v>
      </c>
      <c r="G392" s="36" t="n">
        <f aca="false">-MAX(0,G391)*Premissas!$B$11</f>
        <v>-0</v>
      </c>
      <c r="H392" s="36" t="n">
        <f aca="false">-MAX(0,H391)*Premissas!$B$11</f>
        <v>-0</v>
      </c>
      <c r="I392" s="36" t="n">
        <f aca="false">-MAX(0,I391)*Premissas!$B$11</f>
        <v>-0</v>
      </c>
      <c r="J392" s="36" t="n">
        <f aca="false">-MAX(0,J391)*Premissas!$B$11</f>
        <v>-0</v>
      </c>
      <c r="K392" s="36" t="n">
        <f aca="false">-MAX(0,K391)*Premissas!$B$11</f>
        <v>-0</v>
      </c>
      <c r="L392" s="36" t="n">
        <f aca="false">-MAX(0,L391)*Premissas!$B$11</f>
        <v>-0</v>
      </c>
      <c r="M392" s="36" t="n">
        <f aca="false">-MAX(0,M391)*Premissas!$B$11</f>
        <v>-0</v>
      </c>
      <c r="N392" s="36" t="n">
        <f aca="false">-MAX(0,N391)*Premissas!$B$11</f>
        <v>-0</v>
      </c>
      <c r="O392" s="36" t="n">
        <f aca="false">-MAX(0,O391)*Premissas!$B$11</f>
        <v>-0</v>
      </c>
      <c r="P392" s="3"/>
    </row>
    <row r="393" customFormat="false" ht="15" hidden="false" customHeight="false" outlineLevel="0" collapsed="false">
      <c r="A393" s="3"/>
      <c r="B393" s="4" t="s">
        <v>417</v>
      </c>
      <c r="C393" s="36" t="n">
        <f aca="false">-(IF(C$374=3,Premissas!$E$80,0)+IF(C$374=5,Premissas!$E$81,0)+IF(C$374=8,Premissas!$E$82,0)+IF(C$374=10,Premissas!$E$83,0))*C380</f>
        <v>-0</v>
      </c>
      <c r="D393" s="36" t="n">
        <f aca="false">-(IF(D$374=3,Premissas!$E$80,0)+IF(D$374=5,Premissas!$E$81,0)+IF(D$374=8,Premissas!$E$82,0)+IF(D$374=10,Premissas!$E$83,0))*D380</f>
        <v>-0</v>
      </c>
      <c r="E393" s="36" t="n">
        <f aca="false">-(IF(E$374=3,Premissas!$E$80,0)+IF(E$374=5,Premissas!$E$81,0)+IF(E$374=8,Premissas!$E$82,0)+IF(E$374=10,Premissas!$E$83,0))*E380</f>
        <v>-0</v>
      </c>
      <c r="F393" s="36" t="n">
        <f aca="false">-(IF(F$374=3,Premissas!$E$80,0)+IF(F$374=5,Premissas!$E$81,0)+IF(F$374=8,Premissas!$E$82,0)+IF(F$374=10,Premissas!$E$83,0))*F380</f>
        <v>-0</v>
      </c>
      <c r="G393" s="36" t="n">
        <f aca="false">-(IF(G$374=3,Premissas!$E$80,0)+IF(G$374=5,Premissas!$E$81,0)+IF(G$374=8,Premissas!$E$82,0)+IF(G$374=10,Premissas!$E$83,0))*G380</f>
        <v>-0</v>
      </c>
      <c r="H393" s="36" t="n">
        <f aca="false">-(IF(H$374=3,Premissas!$E$80,0)+IF(H$374=5,Premissas!$E$81,0)+IF(H$374=8,Premissas!$E$82,0)+IF(H$374=10,Premissas!$E$83,0))*H380</f>
        <v>-371315</v>
      </c>
      <c r="I393" s="36" t="n">
        <f aca="false">-(IF(I$374=3,Premissas!$E$80,0)+IF(I$374=5,Premissas!$E$81,0)+IF(I$374=8,Premissas!$E$82,0)+IF(I$374=10,Premissas!$E$83,0))*I380</f>
        <v>-0</v>
      </c>
      <c r="J393" s="36" t="n">
        <f aca="false">-(IF(J$374=3,Premissas!$E$80,0)+IF(J$374=5,Premissas!$E$81,0)+IF(J$374=8,Premissas!$E$82,0)+IF(J$374=10,Premissas!$E$83,0))*J380</f>
        <v>-844131.6075</v>
      </c>
      <c r="K393" s="36" t="n">
        <f aca="false">-(IF(K$374=3,Premissas!$E$80,0)+IF(K$374=5,Premissas!$E$81,0)+IF(K$374=8,Premissas!$E$82,0)+IF(K$374=10,Premissas!$E$83,0))*K380</f>
        <v>-0</v>
      </c>
      <c r="L393" s="36" t="n">
        <f aca="false">-(IF(L$374=3,Premissas!$E$80,0)+IF(L$374=5,Premissas!$E$81,0)+IF(L$374=8,Premissas!$E$82,0)+IF(L$374=10,Premissas!$E$83,0))*L380</f>
        <v>-0</v>
      </c>
      <c r="M393" s="36" t="n">
        <f aca="false">-(IF(M$374=3,Premissas!$E$80,0)+IF(M$374=5,Premissas!$E$81,0)+IF(M$374=8,Premissas!$E$82,0)+IF(M$374=10,Premissas!$E$83,0))*M380</f>
        <v>-491949.546169948</v>
      </c>
      <c r="N393" s="36" t="n">
        <f aca="false">-(IF(N$374=3,Premissas!$E$80,0)+IF(N$374=5,Premissas!$E$81,0)+IF(N$374=8,Premissas!$E$82,0)+IF(N$374=10,Premissas!$E$83,0))*N380</f>
        <v>-0</v>
      </c>
      <c r="O393" s="36" t="n">
        <f aca="false">-(IF(O$374=3,Premissas!$E$80,0)+IF(O$374=5,Premissas!$E$81,0)+IF(O$374=8,Premissas!$E$82,0)+IF(O$374=10,Premissas!$E$83,0))*O380</f>
        <v>-1109057.20625486</v>
      </c>
      <c r="P393" s="3"/>
    </row>
    <row r="394" customFormat="false" ht="15" hidden="false" customHeight="false" outlineLevel="0" collapsed="false">
      <c r="A394" s="3"/>
      <c r="B394" s="4" t="s">
        <v>418</v>
      </c>
      <c r="C394" s="36" t="n">
        <f aca="false">-IF(C$374&gt;=1,Premissas!$E$52*(Premissas!$E$84+IF(C$374=6,Premissas!$E$85,0))*C380,0)</f>
        <v>-0</v>
      </c>
      <c r="D394" s="36" t="n">
        <f aca="false">-IF(D$374&gt;=1,Premissas!$E$52*(Premissas!$E$84+IF(D$374=6,Premissas!$E$85,0))*D380,0)</f>
        <v>-0</v>
      </c>
      <c r="E394" s="36" t="n">
        <f aca="false">-IF(E$374&gt;=1,Premissas!$E$52*(Premissas!$E$84+IF(E$374=6,Premissas!$E$85,0))*E380,0)</f>
        <v>-0</v>
      </c>
      <c r="F394" s="36" t="n">
        <f aca="false">-IF(F$374&gt;=1,Premissas!$E$52*(Premissas!$E$84+IF(F$374=6,Premissas!$E$85,0))*F380,0)</f>
        <v>-106000</v>
      </c>
      <c r="G394" s="36" t="n">
        <f aca="false">-IF(G$374&gt;=1,Premissas!$E$52*(Premissas!$E$84+IF(G$374=6,Premissas!$E$85,0))*G380,0)</f>
        <v>-109180</v>
      </c>
      <c r="H394" s="36" t="n">
        <f aca="false">-IF(H$374&gt;=1,Premissas!$E$52*(Premissas!$E$84+IF(H$374=6,Premissas!$E$85,0))*H380,0)</f>
        <v>-112455.4</v>
      </c>
      <c r="I394" s="36" t="n">
        <f aca="false">-IF(I$374&gt;=1,Premissas!$E$52*(Premissas!$E$84+IF(I$374=6,Premissas!$E$85,0))*I380,0)</f>
        <v>-115829.062</v>
      </c>
      <c r="J394" s="36" t="n">
        <f aca="false">-IF(J$374&gt;=1,Premissas!$E$52*(Premissas!$E$84+IF(J$374=6,Premissas!$E$85,0))*J380,0)</f>
        <v>-119303.93386</v>
      </c>
      <c r="K394" s="36" t="n">
        <f aca="false">-IF(K$374&gt;=1,Premissas!$E$52*(Premissas!$E$84+IF(K$374=6,Premissas!$E$85,0))*K380,0)</f>
        <v>-614415.259379</v>
      </c>
      <c r="L394" s="36" t="n">
        <f aca="false">-IF(L$374&gt;=1,Premissas!$E$52*(Premissas!$E$84+IF(L$374=6,Premissas!$E$85,0))*L380,0)</f>
        <v>-126569.543432074</v>
      </c>
      <c r="M394" s="36" t="n">
        <f aca="false">-IF(M$374&gt;=1,Premissas!$E$52*(Premissas!$E$84+IF(M$374=6,Premissas!$E$85,0))*M380,0)</f>
        <v>-130366.629735036</v>
      </c>
      <c r="N394" s="36" t="n">
        <f aca="false">-IF(N$374&gt;=1,Premissas!$E$52*(Premissas!$E$84+IF(N$374=6,Premissas!$E$85,0))*N380,0)</f>
        <v>-134277.628627087</v>
      </c>
      <c r="O394" s="36" t="n">
        <f aca="false">-IF(O$374&gt;=1,Premissas!$E$52*(Premissas!$E$84+IF(O$374=6,Premissas!$E$85,0))*O380,0)</f>
        <v>-138305.9574859</v>
      </c>
      <c r="P394" s="3"/>
    </row>
    <row r="395" customFormat="false" ht="15" hidden="false" customHeight="false" outlineLevel="0" collapsed="false">
      <c r="A395" s="3"/>
      <c r="B395" s="4" t="s">
        <v>419</v>
      </c>
      <c r="C395" s="36" t="n">
        <f aca="false">-Premissas!$E$52*Premissas!$E$53</f>
        <v>-0</v>
      </c>
      <c r="D395" s="36" t="n">
        <f aca="false">-Premissas!$E$52*Premissas!$E$54</f>
        <v>-0</v>
      </c>
      <c r="E395" s="36" t="n">
        <f aca="false">-Premissas!$E$52*Premissas!$E$55</f>
        <v>-10600000</v>
      </c>
      <c r="F395" s="36" t="n">
        <v>0</v>
      </c>
      <c r="G395" s="36" t="n">
        <v>0</v>
      </c>
      <c r="H395" s="36" t="n">
        <v>0</v>
      </c>
      <c r="I395" s="36" t="n">
        <v>0</v>
      </c>
      <c r="J395" s="36" t="n">
        <v>0</v>
      </c>
      <c r="K395" s="36" t="n">
        <v>0</v>
      </c>
      <c r="L395" s="36" t="n">
        <v>0</v>
      </c>
      <c r="M395" s="36" t="n">
        <v>0</v>
      </c>
      <c r="N395" s="36" t="n">
        <v>0</v>
      </c>
      <c r="O395" s="36" t="n">
        <v>0</v>
      </c>
      <c r="P395" s="3"/>
    </row>
    <row r="396" customFormat="false" ht="15" hidden="false" customHeight="false" outlineLevel="0" collapsed="false">
      <c r="A396" s="3"/>
      <c r="B396" s="4" t="s">
        <v>420</v>
      </c>
      <c r="C396" s="36" t="n">
        <f aca="false">IF(C$374=10,Premissas!$E$52*Premissas!$B$36,0)</f>
        <v>0</v>
      </c>
      <c r="D396" s="36" t="n">
        <f aca="false">IF(D$374=10,Premissas!$E$52*Premissas!$B$36,0)</f>
        <v>0</v>
      </c>
      <c r="E396" s="36" t="n">
        <f aca="false">IF(E$374=10,Premissas!$E$52*Premissas!$B$36,0)</f>
        <v>0</v>
      </c>
      <c r="F396" s="36" t="n">
        <f aca="false">IF(F$374=10,Premissas!$E$52*Premissas!$B$36,0)</f>
        <v>0</v>
      </c>
      <c r="G396" s="36" t="n">
        <f aca="false">IF(G$374=10,Premissas!$E$52*Premissas!$B$36,0)</f>
        <v>0</v>
      </c>
      <c r="H396" s="36" t="n">
        <f aca="false">IF(H$374=10,Premissas!$E$52*Premissas!$B$36,0)</f>
        <v>0</v>
      </c>
      <c r="I396" s="36" t="n">
        <f aca="false">IF(I$374=10,Premissas!$E$52*Premissas!$B$36,0)</f>
        <v>0</v>
      </c>
      <c r="J396" s="36" t="n">
        <f aca="false">IF(J$374=10,Premissas!$E$52*Premissas!$B$36,0)</f>
        <v>0</v>
      </c>
      <c r="K396" s="36" t="n">
        <f aca="false">IF(K$374=10,Premissas!$E$52*Premissas!$B$36,0)</f>
        <v>0</v>
      </c>
      <c r="L396" s="36" t="n">
        <f aca="false">IF(L$374=10,Premissas!$E$52*Premissas!$B$36,0)</f>
        <v>0</v>
      </c>
      <c r="M396" s="36" t="n">
        <f aca="false">IF(M$374=10,Premissas!$E$52*Premissas!$B$36,0)</f>
        <v>0</v>
      </c>
      <c r="N396" s="36" t="n">
        <f aca="false">IF(N$374=10,Premissas!$E$52*Premissas!$B$36,0)</f>
        <v>0</v>
      </c>
      <c r="O396" s="36" t="n">
        <f aca="false">IF(O$374=10,Premissas!$E$52*Premissas!$B$36,0)</f>
        <v>4240000</v>
      </c>
      <c r="P396" s="3"/>
    </row>
    <row r="397" customFormat="false" ht="15" hidden="false" customHeight="false" outlineLevel="0" collapsed="false">
      <c r="A397" s="3"/>
      <c r="B397" s="14" t="s">
        <v>421</v>
      </c>
      <c r="C397" s="33" t="n">
        <f aca="false">C388+C392+C393+C394+C395+C396</f>
        <v>0</v>
      </c>
      <c r="D397" s="33" t="n">
        <f aca="false">D388+D392+D393+D394+D395+D396</f>
        <v>0</v>
      </c>
      <c r="E397" s="33" t="n">
        <f aca="false">E388+E392+E393+E394+E395+E396</f>
        <v>-10600000</v>
      </c>
      <c r="F397" s="33" t="n">
        <f aca="false">F388+F392+F393+F394+F395+F396</f>
        <v>-1732473.8173913</v>
      </c>
      <c r="G397" s="33" t="n">
        <f aca="false">G388+G392+G393+G394+G395+G396</f>
        <v>-1425055.40321739</v>
      </c>
      <c r="H397" s="33" t="n">
        <f aca="false">H388+H392+H393+H394+H395+H396</f>
        <v>-1851775.62881391</v>
      </c>
      <c r="I397" s="33" t="n">
        <f aca="false">I388+I392+I393+I394+I395+I396</f>
        <v>-1537844.35026583</v>
      </c>
      <c r="J397" s="33" t="n">
        <f aca="false">J388+J392+J393+J394+J395+J396</f>
        <v>-2441405.438426</v>
      </c>
      <c r="K397" s="33" t="n">
        <f aca="false">K388+K392+K393+K394+K395+K396</f>
        <v>-2150350.75726297</v>
      </c>
      <c r="L397" s="33" t="n">
        <f aca="false">L388+L392+L393+L394+L395+L396</f>
        <v>-1722550.2727562</v>
      </c>
      <c r="M397" s="33" t="n">
        <f aca="false">M388+M392+M393+M394+M395+M396</f>
        <v>-2280492.67277507</v>
      </c>
      <c r="N397" s="33" t="n">
        <f aca="false">N388+N392+N393+N394+N395+N396</f>
        <v>-1856873.67471117</v>
      </c>
      <c r="O397" s="33" t="n">
        <f aca="false">O388+O392+O393+O394+O395+O396</f>
        <v>1203321.79812706</v>
      </c>
      <c r="P397" s="3"/>
    </row>
    <row r="398" customFormat="false" ht="15" hidden="false" customHeight="false" outlineLevel="0" collapsed="false">
      <c r="A398" s="3"/>
      <c r="B398" s="4" t="s">
        <v>422</v>
      </c>
      <c r="C398" s="36" t="n">
        <f aca="false">C397-C396</f>
        <v>0</v>
      </c>
      <c r="D398" s="36" t="n">
        <f aca="false">C398+D397-D396</f>
        <v>0</v>
      </c>
      <c r="E398" s="36" t="n">
        <f aca="false">D398+E397-E396</f>
        <v>-10600000</v>
      </c>
      <c r="F398" s="36" t="n">
        <f aca="false">E398+F397-F396</f>
        <v>-12332473.8173913</v>
      </c>
      <c r="G398" s="36" t="n">
        <f aca="false">F398+G397-G396</f>
        <v>-13757529.2206087</v>
      </c>
      <c r="H398" s="36" t="n">
        <f aca="false">G398+H397-H396</f>
        <v>-15609304.8494226</v>
      </c>
      <c r="I398" s="36" t="n">
        <f aca="false">H398+I397-I396</f>
        <v>-17147149.1996884</v>
      </c>
      <c r="J398" s="36" t="n">
        <f aca="false">I398+J397-J396</f>
        <v>-19588554.6381144</v>
      </c>
      <c r="K398" s="36" t="n">
        <f aca="false">J398+K397-K396</f>
        <v>-21738905.3953774</v>
      </c>
      <c r="L398" s="36" t="n">
        <f aca="false">K398+L397-L396</f>
        <v>-23461455.6681336</v>
      </c>
      <c r="M398" s="36" t="n">
        <f aca="false">L398+M397-M396</f>
        <v>-25741948.3409087</v>
      </c>
      <c r="N398" s="36" t="n">
        <f aca="false">M398+N397-N396</f>
        <v>-27598822.0156198</v>
      </c>
      <c r="O398" s="36" t="n">
        <f aca="false">N398+O397-O396</f>
        <v>-30635500.2174928</v>
      </c>
      <c r="P398" s="3"/>
    </row>
    <row r="399" customFormat="false" ht="15" hidden="false" customHeight="false" outlineLevel="0" collapsed="false">
      <c r="A399" s="3"/>
      <c r="B399" s="6" t="s">
        <v>423</v>
      </c>
      <c r="C399" s="46" t="n">
        <v>0</v>
      </c>
      <c r="D399" s="46" t="n">
        <v>0</v>
      </c>
      <c r="E399" s="46" t="n">
        <v>0</v>
      </c>
      <c r="F399" s="46" t="n">
        <f aca="false">IF(AND(E398&lt;0,F398&gt;=0),F$374-1+(-E398)/(F397-F396),0)</f>
        <v>0</v>
      </c>
      <c r="G399" s="46" t="n">
        <f aca="false">IF(AND(F398&lt;0,G398&gt;=0),G$374-1+(-F398)/(G397-G396),0)</f>
        <v>0</v>
      </c>
      <c r="H399" s="46" t="n">
        <f aca="false">IF(AND(G398&lt;0,H398&gt;=0),H$374-1+(-G398)/(H397-H396),0)</f>
        <v>0</v>
      </c>
      <c r="I399" s="46" t="n">
        <f aca="false">IF(AND(H398&lt;0,I398&gt;=0),I$374-1+(-H398)/(I397-I396),0)</f>
        <v>0</v>
      </c>
      <c r="J399" s="46" t="n">
        <f aca="false">IF(AND(I398&lt;0,J398&gt;=0),J$374-1+(-I398)/(J397-J396),0)</f>
        <v>0</v>
      </c>
      <c r="K399" s="46" t="n">
        <f aca="false">IF(AND(J398&lt;0,K398&gt;=0),K$374-1+(-J398)/(K397-K396),0)</f>
        <v>0</v>
      </c>
      <c r="L399" s="46" t="n">
        <f aca="false">IF(AND(K398&lt;0,L398&gt;=0),L$374-1+(-K398)/(L397-L396),0)</f>
        <v>0</v>
      </c>
      <c r="M399" s="46" t="n">
        <f aca="false">IF(AND(L398&lt;0,M398&gt;=0),M$374-1+(-L398)/(M397-M396),0)</f>
        <v>0</v>
      </c>
      <c r="N399" s="46" t="n">
        <f aca="false">IF(AND(M398&lt;0,N398&gt;=0),N$374-1+(-M398)/(N397-N396),0)</f>
        <v>0</v>
      </c>
      <c r="O399" s="46" t="n">
        <f aca="false">IF(AND(N398&lt;0,O398&gt;=0),O$374-1+(-N398)/(O397-O396),0)</f>
        <v>0</v>
      </c>
      <c r="P399" s="3"/>
    </row>
    <row r="400" customFormat="false" ht="15" hidden="false" customHeight="false" outlineLevel="0" collapsed="false">
      <c r="A400" s="3"/>
      <c r="B400" s="14" t="s">
        <v>424</v>
      </c>
      <c r="C400" s="47" t="str">
        <f aca="false">IFERROR(IRR(C397:O397,0.05),IFERROR(IRR(C397:O397,-0.05),IF(SUM(C397:O397)&lt;0,"negativa","n/d")))</f>
        <v>negativa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customFormat="false" ht="15" hidden="false" customHeight="false" outlineLevel="0" collapsed="false">
      <c r="A401" s="3"/>
      <c r="B401" s="14" t="s">
        <v>425</v>
      </c>
      <c r="C401" s="48" t="n">
        <f aca="false">C397*(1+Premissas!$B$10)^2+D397*(1+Premissas!$B$10)+E397+NPV(Premissas!$B$10,F397:O397)</f>
        <v>-20795450.7727483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customFormat="false" ht="15" hidden="false" customHeight="false" outlineLevel="0" collapsed="false">
      <c r="A402" s="3"/>
      <c r="B402" s="14" t="s">
        <v>426</v>
      </c>
      <c r="C402" s="49" t="str">
        <f aca="false">IF(SUM(F399:O399)=0,"&gt; 10",SUM(F399:O399))</f>
        <v>&gt; 10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customFormat="false" ht="15" hidden="false" customHeight="false" outlineLevel="0" collapsed="false">
      <c r="A403" s="3"/>
      <c r="B403" s="14" t="s">
        <v>427</v>
      </c>
      <c r="C403" s="47" t="n">
        <f aca="false">SUM(C397:O397)/-SUM(C395:E395)</f>
        <v>-2.49014152995215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customFormat="false" ht="15" hidden="false" customHeight="false" outlineLevel="0" collapsed="false">
      <c r="A404" s="3"/>
      <c r="B404" s="14" t="s">
        <v>428</v>
      </c>
      <c r="C404" s="47" t="n">
        <f aca="false">AVERAGE(F391:O391)*(1-Premissas!$B$11)/-SUM(C395:E395)</f>
        <v>-0.13618628936238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customFormat="false" ht="15" hidden="false" customHeight="false" outlineLevel="0" collapsed="false">
      <c r="A405" s="3"/>
      <c r="B405" s="14" t="s">
        <v>429</v>
      </c>
      <c r="C405" s="48" t="n">
        <f aca="false">H388</f>
        <v>-1368005.22881391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customFormat="false" ht="15" hidden="false" customHeight="false" outlineLevel="0" collapsed="false">
      <c r="A406" s="3"/>
      <c r="B406" s="14" t="s">
        <v>430</v>
      </c>
      <c r="C406" s="48" t="n">
        <f aca="false">H385</f>
        <v>2593980.5175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customFormat="false" ht="15" hidden="false" customHeight="false" outlineLevel="0" collapsed="false">
      <c r="A407" s="3"/>
      <c r="B407" s="14" t="s">
        <v>431</v>
      </c>
      <c r="C407" s="47" t="n">
        <f aca="false">H389</f>
        <v>-0.527376832472264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customFormat="false" ht="15" hidden="false" customHeight="false" outlineLevel="0" collapsed="false">
      <c r="A408" s="3"/>
      <c r="B408" s="14" t="s">
        <v>432</v>
      </c>
      <c r="C408" s="48" t="n">
        <f aca="false">-(H386+H387)</f>
        <v>3961985.74631391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customFormat="false" ht="15" hidden="false" customHeight="false" outlineLevel="0" collapsed="false">
      <c r="A409" s="3"/>
      <c r="B409" s="14" t="s">
        <v>433</v>
      </c>
      <c r="C409" s="50" t="n">
        <f aca="false">IFERROR(-H387/((H385+H386)/H375),"n/d")</f>
        <v>37.6143928553228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customFormat="false" ht="15" hidden="false" customHeight="false" outlineLevel="0" collapsed="false">
      <c r="A410" s="3"/>
      <c r="B410" s="14" t="s">
        <v>434</v>
      </c>
      <c r="C410" s="48" t="n">
        <f aca="false">-SUM(C395:E395)</f>
        <v>10600000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customFormat="false" ht="15" hidden="false" customHeight="false" outlineLevel="0" collapsed="false">
      <c r="A411" s="3"/>
      <c r="B411" s="14" t="s">
        <v>435</v>
      </c>
      <c r="C411" s="48" t="n">
        <f aca="false">O396</f>
        <v>4240000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customFormat="false" ht="15" hidden="false" customHeight="false" outlineLevel="0" collapsed="false">
      <c r="A414" s="3"/>
      <c r="B414" s="19" t="s">
        <v>445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customFormat="false" ht="15" hidden="false" customHeight="false" outlineLevel="0" collapsed="false">
      <c r="A415" s="3"/>
      <c r="B415" s="14" t="s">
        <v>398</v>
      </c>
      <c r="C415" s="44" t="n">
        <v>-2</v>
      </c>
      <c r="D415" s="44" t="n">
        <v>-1</v>
      </c>
      <c r="E415" s="44" t="n">
        <v>0</v>
      </c>
      <c r="F415" s="44" t="n">
        <v>1</v>
      </c>
      <c r="G415" s="44" t="n">
        <v>2</v>
      </c>
      <c r="H415" s="44" t="n">
        <v>3</v>
      </c>
      <c r="I415" s="44" t="n">
        <v>4</v>
      </c>
      <c r="J415" s="44" t="n">
        <v>5</v>
      </c>
      <c r="K415" s="44" t="n">
        <v>6</v>
      </c>
      <c r="L415" s="44" t="n">
        <v>7</v>
      </c>
      <c r="M415" s="44" t="n">
        <v>8</v>
      </c>
      <c r="N415" s="44" t="n">
        <v>9</v>
      </c>
      <c r="O415" s="44" t="n">
        <v>10</v>
      </c>
      <c r="P415" s="3"/>
    </row>
    <row r="416" customFormat="false" ht="15" hidden="false" customHeight="false" outlineLevel="0" collapsed="false">
      <c r="A416" s="3"/>
      <c r="B416" s="4" t="s">
        <v>399</v>
      </c>
      <c r="C416" s="39" t="n">
        <f aca="false">IF(C$415&gt;=1,Premissas!$C$29*IF(C$415=1,Premissas!$C$37,1),0)</f>
        <v>0</v>
      </c>
      <c r="D416" s="39" t="n">
        <f aca="false">IF(D$415&gt;=1,Premissas!$C$29*IF(D$415=1,Premissas!$C$37,1),0)</f>
        <v>0</v>
      </c>
      <c r="E416" s="39" t="n">
        <f aca="false">IF(E$415&gt;=1,Premissas!$C$29*IF(E$415=1,Premissas!$C$37,1),0)</f>
        <v>0</v>
      </c>
      <c r="F416" s="39" t="n">
        <f aca="false">IF(F$415&gt;=1,Premissas!$C$29*IF(F$415=1,Premissas!$C$37,1),0)</f>
        <v>22.1</v>
      </c>
      <c r="G416" s="39" t="n">
        <f aca="false">IF(G$415&gt;=1,Premissas!$C$29*IF(G$415=1,Premissas!$C$37,1),0)</f>
        <v>26</v>
      </c>
      <c r="H416" s="39" t="n">
        <f aca="false">IF(H$415&gt;=1,Premissas!$C$29*IF(H$415=1,Premissas!$C$37,1),0)</f>
        <v>26</v>
      </c>
      <c r="I416" s="39" t="n">
        <f aca="false">IF(I$415&gt;=1,Premissas!$C$29*IF(I$415=1,Premissas!$C$37,1),0)</f>
        <v>26</v>
      </c>
      <c r="J416" s="39" t="n">
        <f aca="false">IF(J$415&gt;=1,Premissas!$C$29*IF(J$415=1,Premissas!$C$37,1),0)</f>
        <v>26</v>
      </c>
      <c r="K416" s="39" t="n">
        <f aca="false">IF(K$415&gt;=1,Premissas!$C$29*IF(K$415=1,Premissas!$C$37,1),0)</f>
        <v>26</v>
      </c>
      <c r="L416" s="39" t="n">
        <f aca="false">IF(L$415&gt;=1,Premissas!$C$29*IF(L$415=1,Premissas!$C$37,1),0)</f>
        <v>26</v>
      </c>
      <c r="M416" s="39" t="n">
        <f aca="false">IF(M$415&gt;=1,Premissas!$C$29*IF(M$415=1,Premissas!$C$37,1),0)</f>
        <v>26</v>
      </c>
      <c r="N416" s="39" t="n">
        <f aca="false">IF(N$415&gt;=1,Premissas!$C$29*IF(N$415=1,Premissas!$C$37,1),0)</f>
        <v>26</v>
      </c>
      <c r="O416" s="39" t="n">
        <f aca="false">IF(O$415&gt;=1,Premissas!$C$29*IF(O$415=1,Premissas!$C$37,1),0)</f>
        <v>26</v>
      </c>
      <c r="P416" s="3"/>
    </row>
    <row r="417" customFormat="false" ht="15" hidden="false" customHeight="false" outlineLevel="0" collapsed="false">
      <c r="A417" s="3"/>
      <c r="B417" s="4" t="s">
        <v>400</v>
      </c>
      <c r="C417" s="39" t="n">
        <f aca="false">MIN(C416,Premissas!$C$30)</f>
        <v>0</v>
      </c>
      <c r="D417" s="39" t="n">
        <f aca="false">MIN(D416,Premissas!$C$30)</f>
        <v>0</v>
      </c>
      <c r="E417" s="39" t="n">
        <f aca="false">MIN(E416,Premissas!$C$30)</f>
        <v>0</v>
      </c>
      <c r="F417" s="39" t="n">
        <f aca="false">MIN(F416,Premissas!$C$30)</f>
        <v>8</v>
      </c>
      <c r="G417" s="39" t="n">
        <f aca="false">MIN(G416,Premissas!$C$30)</f>
        <v>8</v>
      </c>
      <c r="H417" s="39" t="n">
        <f aca="false">MIN(H416,Premissas!$C$30)</f>
        <v>8</v>
      </c>
      <c r="I417" s="39" t="n">
        <f aca="false">MIN(I416,Premissas!$C$30)</f>
        <v>8</v>
      </c>
      <c r="J417" s="39" t="n">
        <f aca="false">MIN(J416,Premissas!$C$30)</f>
        <v>8</v>
      </c>
      <c r="K417" s="39" t="n">
        <f aca="false">MIN(K416,Premissas!$C$30)</f>
        <v>8</v>
      </c>
      <c r="L417" s="39" t="n">
        <f aca="false">MIN(L416,Premissas!$C$30)</f>
        <v>8</v>
      </c>
      <c r="M417" s="39" t="n">
        <f aca="false">MIN(M416,Premissas!$C$30)</f>
        <v>8</v>
      </c>
      <c r="N417" s="39" t="n">
        <f aca="false">MIN(N416,Premissas!$C$30)</f>
        <v>8</v>
      </c>
      <c r="O417" s="39" t="n">
        <f aca="false">MIN(O416,Premissas!$C$30)</f>
        <v>8</v>
      </c>
      <c r="P417" s="3"/>
    </row>
    <row r="418" customFormat="false" ht="15" hidden="false" customHeight="false" outlineLevel="0" collapsed="false">
      <c r="A418" s="3"/>
      <c r="B418" s="4" t="s">
        <v>401</v>
      </c>
      <c r="C418" s="39" t="n">
        <f aca="false">MIN(C416-C417,Premissas!$C$31)</f>
        <v>0</v>
      </c>
      <c r="D418" s="39" t="n">
        <f aca="false">MIN(D416-D417,Premissas!$C$31)</f>
        <v>0</v>
      </c>
      <c r="E418" s="39" t="n">
        <f aca="false">MIN(E416-E417,Premissas!$C$31)</f>
        <v>0</v>
      </c>
      <c r="F418" s="39" t="n">
        <f aca="false">MIN(F416-F417,Premissas!$C$31)</f>
        <v>4</v>
      </c>
      <c r="G418" s="39" t="n">
        <f aca="false">MIN(G416-G417,Premissas!$C$31)</f>
        <v>4</v>
      </c>
      <c r="H418" s="39" t="n">
        <f aca="false">MIN(H416-H417,Premissas!$C$31)</f>
        <v>4</v>
      </c>
      <c r="I418" s="39" t="n">
        <f aca="false">MIN(I416-I417,Premissas!$C$31)</f>
        <v>4</v>
      </c>
      <c r="J418" s="39" t="n">
        <f aca="false">MIN(J416-J417,Premissas!$C$31)</f>
        <v>4</v>
      </c>
      <c r="K418" s="39" t="n">
        <f aca="false">MIN(K416-K417,Premissas!$C$31)</f>
        <v>4</v>
      </c>
      <c r="L418" s="39" t="n">
        <f aca="false">MIN(L416-L417,Premissas!$C$31)</f>
        <v>4</v>
      </c>
      <c r="M418" s="39" t="n">
        <f aca="false">MIN(M416-M417,Premissas!$C$31)</f>
        <v>4</v>
      </c>
      <c r="N418" s="39" t="n">
        <f aca="false">MIN(N416-N417,Premissas!$C$31)</f>
        <v>4</v>
      </c>
      <c r="O418" s="39" t="n">
        <f aca="false">MIN(O416-O417,Premissas!$C$31)</f>
        <v>4</v>
      </c>
      <c r="P418" s="3"/>
    </row>
    <row r="419" customFormat="false" ht="15" hidden="false" customHeight="false" outlineLevel="0" collapsed="false">
      <c r="A419" s="3"/>
      <c r="B419" s="4" t="s">
        <v>402</v>
      </c>
      <c r="C419" s="39" t="n">
        <f aca="false">C416-C417-C418</f>
        <v>0</v>
      </c>
      <c r="D419" s="39" t="n">
        <f aca="false">D416-D417-D418</f>
        <v>0</v>
      </c>
      <c r="E419" s="39" t="n">
        <f aca="false">E416-E417-E418</f>
        <v>0</v>
      </c>
      <c r="F419" s="39" t="n">
        <f aca="false">F416-F417-F418</f>
        <v>10.1</v>
      </c>
      <c r="G419" s="39" t="n">
        <f aca="false">G416-G417-G418</f>
        <v>14</v>
      </c>
      <c r="H419" s="39" t="n">
        <f aca="false">H416-H417-H418</f>
        <v>14</v>
      </c>
      <c r="I419" s="39" t="n">
        <f aca="false">I416-I417-I418</f>
        <v>14</v>
      </c>
      <c r="J419" s="39" t="n">
        <f aca="false">J416-J417-J418</f>
        <v>14</v>
      </c>
      <c r="K419" s="39" t="n">
        <f aca="false">K416-K417-K418</f>
        <v>14</v>
      </c>
      <c r="L419" s="39" t="n">
        <f aca="false">L416-L417-L418</f>
        <v>14</v>
      </c>
      <c r="M419" s="39" t="n">
        <f aca="false">M416-M417-M418</f>
        <v>14</v>
      </c>
      <c r="N419" s="39" t="n">
        <f aca="false">N416-N417-N418</f>
        <v>14</v>
      </c>
      <c r="O419" s="39" t="n">
        <f aca="false">O416-O417-O418</f>
        <v>14</v>
      </c>
      <c r="P419" s="3"/>
    </row>
    <row r="420" customFormat="false" ht="15" hidden="false" customHeight="false" outlineLevel="0" collapsed="false">
      <c r="A420" s="3"/>
      <c r="B420" s="4" t="s">
        <v>403</v>
      </c>
      <c r="C420" s="45" t="n">
        <f aca="false">IF(C$415&gt;=1,(1+Premissas!$B$8)^(C$415-1),0)</f>
        <v>0</v>
      </c>
      <c r="D420" s="45" t="n">
        <f aca="false">IF(D$415&gt;=1,(1+Premissas!$B$8)^(D$415-1),0)</f>
        <v>0</v>
      </c>
      <c r="E420" s="45" t="n">
        <f aca="false">IF(E$415&gt;=1,(1+Premissas!$B$8)^(E$415-1),0)</f>
        <v>0</v>
      </c>
      <c r="F420" s="45" t="n">
        <f aca="false">IF(F$415&gt;=1,(1+Premissas!$B$8)^(F$415-1),0)</f>
        <v>1</v>
      </c>
      <c r="G420" s="45" t="n">
        <f aca="false">IF(G$415&gt;=1,(1+Premissas!$B$8)^(G$415-1),0)</f>
        <v>1.025</v>
      </c>
      <c r="H420" s="45" t="n">
        <f aca="false">IF(H$415&gt;=1,(1+Premissas!$B$8)^(H$415-1),0)</f>
        <v>1.050625</v>
      </c>
      <c r="I420" s="45" t="n">
        <f aca="false">IF(I$415&gt;=1,(1+Premissas!$B$8)^(I$415-1),0)</f>
        <v>1.076890625</v>
      </c>
      <c r="J420" s="45" t="n">
        <f aca="false">IF(J$415&gt;=1,(1+Premissas!$B$8)^(J$415-1),0)</f>
        <v>1.103812890625</v>
      </c>
      <c r="K420" s="45" t="n">
        <f aca="false">IF(K$415&gt;=1,(1+Premissas!$B$8)^(K$415-1),0)</f>
        <v>1.13140821289062</v>
      </c>
      <c r="L420" s="45" t="n">
        <f aca="false">IF(L$415&gt;=1,(1+Premissas!$B$8)^(L$415-1),0)</f>
        <v>1.15969341821289</v>
      </c>
      <c r="M420" s="45" t="n">
        <f aca="false">IF(M$415&gt;=1,(1+Premissas!$B$8)^(M$415-1),0)</f>
        <v>1.18868575366821</v>
      </c>
      <c r="N420" s="45" t="n">
        <f aca="false">IF(N$415&gt;=1,(1+Premissas!$B$8)^(N$415-1),0)</f>
        <v>1.21840289750992</v>
      </c>
      <c r="O420" s="45" t="n">
        <f aca="false">IF(O$415&gt;=1,(1+Premissas!$B$8)^(O$415-1),0)</f>
        <v>1.24886296994767</v>
      </c>
      <c r="P420" s="3"/>
    </row>
    <row r="421" customFormat="false" ht="15" hidden="false" customHeight="false" outlineLevel="0" collapsed="false">
      <c r="A421" s="3"/>
      <c r="B421" s="4" t="s">
        <v>404</v>
      </c>
      <c r="C421" s="45" t="n">
        <f aca="false">IF(C$415&gt;=1,(1+Premissas!$B$9)^(C$415-1),0)</f>
        <v>0</v>
      </c>
      <c r="D421" s="45" t="n">
        <f aca="false">IF(D$415&gt;=1,(1+Premissas!$B$9)^(D$415-1),0)</f>
        <v>0</v>
      </c>
      <c r="E421" s="45" t="n">
        <f aca="false">IF(E$415&gt;=1,(1+Premissas!$B$9)^(E$415-1),0)</f>
        <v>0</v>
      </c>
      <c r="F421" s="45" t="n">
        <f aca="false">IF(F$415&gt;=1,(1+Premissas!$B$9)^(F$415-1),0)</f>
        <v>1</v>
      </c>
      <c r="G421" s="45" t="n">
        <f aca="false">IF(G$415&gt;=1,(1+Premissas!$B$9)^(G$415-1),0)</f>
        <v>1.03</v>
      </c>
      <c r="H421" s="45" t="n">
        <f aca="false">IF(H$415&gt;=1,(1+Premissas!$B$9)^(H$415-1),0)</f>
        <v>1.0609</v>
      </c>
      <c r="I421" s="45" t="n">
        <f aca="false">IF(I$415&gt;=1,(1+Premissas!$B$9)^(I$415-1),0)</f>
        <v>1.092727</v>
      </c>
      <c r="J421" s="45" t="n">
        <f aca="false">IF(J$415&gt;=1,(1+Premissas!$B$9)^(J$415-1),0)</f>
        <v>1.12550881</v>
      </c>
      <c r="K421" s="45" t="n">
        <f aca="false">IF(K$415&gt;=1,(1+Premissas!$B$9)^(K$415-1),0)</f>
        <v>1.1592740743</v>
      </c>
      <c r="L421" s="45" t="n">
        <f aca="false">IF(L$415&gt;=1,(1+Premissas!$B$9)^(L$415-1),0)</f>
        <v>1.194052296529</v>
      </c>
      <c r="M421" s="45" t="n">
        <f aca="false">IF(M$415&gt;=1,(1+Premissas!$B$9)^(M$415-1),0)</f>
        <v>1.22987386542487</v>
      </c>
      <c r="N421" s="45" t="n">
        <f aca="false">IF(N$415&gt;=1,(1+Premissas!$B$9)^(N$415-1),0)</f>
        <v>1.26677008138762</v>
      </c>
      <c r="O421" s="45" t="n">
        <f aca="false">IF(O$415&gt;=1,(1+Premissas!$B$9)^(O$415-1),0)</f>
        <v>1.30477318382925</v>
      </c>
      <c r="P421" s="3"/>
    </row>
    <row r="422" customFormat="false" ht="15" hidden="false" customHeight="false" outlineLevel="0" collapsed="false">
      <c r="A422" s="3"/>
      <c r="B422" s="4" t="s">
        <v>405</v>
      </c>
      <c r="C422" s="36" t="n">
        <f aca="false">C417*Premissas!$E$77*Premissas!$C$32*C420</f>
        <v>0</v>
      </c>
      <c r="D422" s="36" t="n">
        <f aca="false">D417*Premissas!$E$77*Premissas!$C$32*D420</f>
        <v>0</v>
      </c>
      <c r="E422" s="36" t="n">
        <f aca="false">E417*Premissas!$E$77*Premissas!$C$32*E420</f>
        <v>0</v>
      </c>
      <c r="F422" s="36" t="n">
        <f aca="false">F417*Premissas!$E$77*Premissas!$C$32*F420</f>
        <v>1200000</v>
      </c>
      <c r="G422" s="36" t="n">
        <f aca="false">G417*Premissas!$E$77*Premissas!$C$32*G420</f>
        <v>1230000</v>
      </c>
      <c r="H422" s="36" t="n">
        <f aca="false">H417*Premissas!$E$77*Premissas!$C$32*H420</f>
        <v>1260750</v>
      </c>
      <c r="I422" s="36" t="n">
        <f aca="false">I417*Premissas!$E$77*Premissas!$C$32*I420</f>
        <v>1292268.75</v>
      </c>
      <c r="J422" s="36" t="n">
        <f aca="false">J417*Premissas!$E$77*Premissas!$C$32*J420</f>
        <v>1324575.46875</v>
      </c>
      <c r="K422" s="36" t="n">
        <f aca="false">K417*Premissas!$E$77*Premissas!$C$32*K420</f>
        <v>1357689.85546875</v>
      </c>
      <c r="L422" s="36" t="n">
        <f aca="false">L417*Premissas!$E$77*Premissas!$C$32*L420</f>
        <v>1391632.10185547</v>
      </c>
      <c r="M422" s="36" t="n">
        <f aca="false">M417*Premissas!$E$77*Premissas!$C$32*M420</f>
        <v>1426422.90440185</v>
      </c>
      <c r="N422" s="36" t="n">
        <f aca="false">N417*Premissas!$E$77*Premissas!$C$32*N420</f>
        <v>1462083.4770119</v>
      </c>
      <c r="O422" s="36" t="n">
        <f aca="false">O417*Premissas!$E$77*Premissas!$C$32*O420</f>
        <v>1498635.5639372</v>
      </c>
      <c r="P422" s="3"/>
    </row>
    <row r="423" customFormat="false" ht="15" hidden="false" customHeight="false" outlineLevel="0" collapsed="false">
      <c r="A423" s="3"/>
      <c r="B423" s="4" t="s">
        <v>406</v>
      </c>
      <c r="C423" s="36" t="n">
        <f aca="false">C419*Premissas!$E$77*Premissas!$C$32*(1-Premissas!$B$12)*C420</f>
        <v>0</v>
      </c>
      <c r="D423" s="36" t="n">
        <f aca="false">D419*Premissas!$E$77*Premissas!$C$32*(1-Premissas!$B$12)*D420</f>
        <v>0</v>
      </c>
      <c r="E423" s="36" t="n">
        <f aca="false">E419*Premissas!$E$77*Premissas!$C$32*(1-Premissas!$B$12)*E420</f>
        <v>0</v>
      </c>
      <c r="F423" s="36" t="n">
        <f aca="false">F419*Premissas!$E$77*Premissas!$C$32*(1-Premissas!$B$12)*F420</f>
        <v>1287750</v>
      </c>
      <c r="G423" s="36" t="n">
        <f aca="false">G419*Premissas!$E$77*Premissas!$C$32*(1-Premissas!$B$12)*G420</f>
        <v>1829625</v>
      </c>
      <c r="H423" s="36" t="n">
        <f aca="false">H419*Premissas!$E$77*Premissas!$C$32*(1-Premissas!$B$12)*H420</f>
        <v>1875365.625</v>
      </c>
      <c r="I423" s="36" t="n">
        <f aca="false">I419*Premissas!$E$77*Premissas!$C$32*(1-Premissas!$B$12)*I420</f>
        <v>1922249.765625</v>
      </c>
      <c r="J423" s="36" t="n">
        <f aca="false">J419*Premissas!$E$77*Premissas!$C$32*(1-Premissas!$B$12)*J420</f>
        <v>1970306.00976562</v>
      </c>
      <c r="K423" s="36" t="n">
        <f aca="false">K419*Premissas!$E$77*Premissas!$C$32*(1-Premissas!$B$12)*K420</f>
        <v>2019563.66000976</v>
      </c>
      <c r="L423" s="36" t="n">
        <f aca="false">L419*Premissas!$E$77*Premissas!$C$32*(1-Premissas!$B$12)*L420</f>
        <v>2070052.75151001</v>
      </c>
      <c r="M423" s="36" t="n">
        <f aca="false">M419*Premissas!$E$77*Premissas!$C$32*(1-Premissas!$B$12)*M420</f>
        <v>2121804.07029776</v>
      </c>
      <c r="N423" s="36" t="n">
        <f aca="false">N419*Premissas!$E$77*Premissas!$C$32*(1-Premissas!$B$12)*N420</f>
        <v>2174849.1720552</v>
      </c>
      <c r="O423" s="36" t="n">
        <f aca="false">O419*Premissas!$E$77*Premissas!$C$32*(1-Premissas!$B$12)*O420</f>
        <v>2229220.40135658</v>
      </c>
      <c r="P423" s="3"/>
    </row>
    <row r="424" customFormat="false" ht="15" hidden="false" customHeight="false" outlineLevel="0" collapsed="false">
      <c r="A424" s="3"/>
      <c r="B424" s="4" t="s">
        <v>407</v>
      </c>
      <c r="C424" s="36" t="n">
        <f aca="false">C418*Premissas!$E$44*Premissas!$C$38*Premissas!$E$78*Premissas!$C$32*(1-Premissas!$B$12)*C420</f>
        <v>0</v>
      </c>
      <c r="D424" s="36" t="n">
        <f aca="false">D418*Premissas!$E$44*Premissas!$C$38*Premissas!$E$78*Premissas!$C$32*(1-Premissas!$B$12)*D420</f>
        <v>0</v>
      </c>
      <c r="E424" s="36" t="n">
        <f aca="false">E418*Premissas!$E$44*Premissas!$C$38*Premissas!$E$78*Premissas!$C$32*(1-Premissas!$B$12)*E420</f>
        <v>0</v>
      </c>
      <c r="F424" s="36" t="n">
        <f aca="false">F418*Premissas!$E$44*Premissas!$C$38*Premissas!$E$78*Premissas!$C$32*(1-Premissas!$B$12)*F420</f>
        <v>489600</v>
      </c>
      <c r="G424" s="36" t="n">
        <f aca="false">G418*Premissas!$E$44*Premissas!$C$38*Premissas!$E$78*Premissas!$C$32*(1-Premissas!$B$12)*G420</f>
        <v>501840</v>
      </c>
      <c r="H424" s="36" t="n">
        <f aca="false">H418*Premissas!$E$44*Premissas!$C$38*Premissas!$E$78*Premissas!$C$32*(1-Premissas!$B$12)*H420</f>
        <v>514386</v>
      </c>
      <c r="I424" s="36" t="n">
        <f aca="false">I418*Premissas!$E$44*Premissas!$C$38*Premissas!$E$78*Premissas!$C$32*(1-Premissas!$B$12)*I420</f>
        <v>527245.65</v>
      </c>
      <c r="J424" s="36" t="n">
        <f aca="false">J418*Premissas!$E$44*Premissas!$C$38*Premissas!$E$78*Premissas!$C$32*(1-Premissas!$B$12)*J420</f>
        <v>540426.79125</v>
      </c>
      <c r="K424" s="36" t="n">
        <f aca="false">K418*Premissas!$E$44*Premissas!$C$38*Premissas!$E$78*Premissas!$C$32*(1-Premissas!$B$12)*K420</f>
        <v>553937.46103125</v>
      </c>
      <c r="L424" s="36" t="n">
        <f aca="false">L418*Premissas!$E$44*Premissas!$C$38*Premissas!$E$78*Premissas!$C$32*(1-Premissas!$B$12)*L420</f>
        <v>567785.897557031</v>
      </c>
      <c r="M424" s="36" t="n">
        <f aca="false">M418*Premissas!$E$44*Premissas!$C$38*Premissas!$E$78*Premissas!$C$32*(1-Premissas!$B$12)*M420</f>
        <v>581980.544995957</v>
      </c>
      <c r="N424" s="36" t="n">
        <f aca="false">N418*Premissas!$E$44*Premissas!$C$38*Premissas!$E$78*Premissas!$C$32*(1-Premissas!$B$12)*N420</f>
        <v>596530.058620855</v>
      </c>
      <c r="O424" s="36" t="n">
        <f aca="false">O418*Premissas!$E$44*Premissas!$C$38*Premissas!$E$78*Premissas!$C$32*(1-Premissas!$B$12)*O420</f>
        <v>611443.310086377</v>
      </c>
      <c r="P424" s="3"/>
    </row>
    <row r="425" customFormat="false" ht="15" hidden="false" customHeight="false" outlineLevel="0" collapsed="false">
      <c r="A425" s="3"/>
      <c r="B425" s="4" t="s">
        <v>408</v>
      </c>
      <c r="C425" s="36" t="n">
        <f aca="false">C416*Premissas!$E$44*Premissas!$B$14*Premissas!$B$13*C420</f>
        <v>0</v>
      </c>
      <c r="D425" s="36" t="n">
        <f aca="false">D416*Premissas!$E$44*Premissas!$B$14*Premissas!$B$13*D420</f>
        <v>0</v>
      </c>
      <c r="E425" s="36" t="n">
        <f aca="false">E416*Premissas!$E$44*Premissas!$B$14*Premissas!$B$13*E420</f>
        <v>0</v>
      </c>
      <c r="F425" s="36" t="n">
        <f aca="false">F416*Premissas!$E$44*Premissas!$B$14*Premissas!$B$13*F420</f>
        <v>143208</v>
      </c>
      <c r="G425" s="36" t="n">
        <f aca="false">G416*Premissas!$E$44*Premissas!$B$14*Premissas!$B$13*G420</f>
        <v>172692</v>
      </c>
      <c r="H425" s="36" t="n">
        <f aca="false">H416*Premissas!$E$44*Premissas!$B$14*Premissas!$B$13*H420</f>
        <v>177009.3</v>
      </c>
      <c r="I425" s="36" t="n">
        <f aca="false">I416*Premissas!$E$44*Premissas!$B$14*Premissas!$B$13*I420</f>
        <v>181434.5325</v>
      </c>
      <c r="J425" s="36" t="n">
        <f aca="false">J416*Premissas!$E$44*Premissas!$B$14*Premissas!$B$13*J420</f>
        <v>185970.3958125</v>
      </c>
      <c r="K425" s="36" t="n">
        <f aca="false">K416*Premissas!$E$44*Premissas!$B$14*Premissas!$B$13*K420</f>
        <v>190619.655707812</v>
      </c>
      <c r="L425" s="36" t="n">
        <f aca="false">L416*Premissas!$E$44*Premissas!$B$14*Premissas!$B$13*L420</f>
        <v>195385.147100508</v>
      </c>
      <c r="M425" s="36" t="n">
        <f aca="false">M416*Premissas!$E$44*Premissas!$B$14*Premissas!$B$13*M420</f>
        <v>200269.77577802</v>
      </c>
      <c r="N425" s="36" t="n">
        <f aca="false">N416*Premissas!$E$44*Premissas!$B$14*Premissas!$B$13*N420</f>
        <v>205276.520172471</v>
      </c>
      <c r="O425" s="36" t="n">
        <f aca="false">O416*Premissas!$E$44*Premissas!$B$14*Premissas!$B$13*O420</f>
        <v>210408.433176783</v>
      </c>
      <c r="P425" s="3"/>
    </row>
    <row r="426" customFormat="false" ht="15" hidden="false" customHeight="false" outlineLevel="0" collapsed="false">
      <c r="A426" s="3"/>
      <c r="B426" s="14" t="s">
        <v>409</v>
      </c>
      <c r="C426" s="33" t="n">
        <f aca="false">SUM(C422:C425)</f>
        <v>0</v>
      </c>
      <c r="D426" s="33" t="n">
        <f aca="false">SUM(D422:D425)</f>
        <v>0</v>
      </c>
      <c r="E426" s="33" t="n">
        <f aca="false">SUM(E422:E425)</f>
        <v>0</v>
      </c>
      <c r="F426" s="33" t="n">
        <f aca="false">SUM(F422:F425)</f>
        <v>3120558</v>
      </c>
      <c r="G426" s="33" t="n">
        <f aca="false">SUM(G422:G425)</f>
        <v>3734157</v>
      </c>
      <c r="H426" s="33" t="n">
        <f aca="false">SUM(H422:H425)</f>
        <v>3827510.925</v>
      </c>
      <c r="I426" s="33" t="n">
        <f aca="false">SUM(I422:I425)</f>
        <v>3923198.698125</v>
      </c>
      <c r="J426" s="33" t="n">
        <f aca="false">SUM(J422:J425)</f>
        <v>4021278.66557812</v>
      </c>
      <c r="K426" s="33" t="n">
        <f aca="false">SUM(K422:K425)</f>
        <v>4121810.63221758</v>
      </c>
      <c r="L426" s="33" t="n">
        <f aca="false">SUM(L422:L425)</f>
        <v>4224855.89802302</v>
      </c>
      <c r="M426" s="33" t="n">
        <f aca="false">SUM(M422:M425)</f>
        <v>4330477.29547359</v>
      </c>
      <c r="N426" s="33" t="n">
        <f aca="false">SUM(N422:N425)</f>
        <v>4438739.22786043</v>
      </c>
      <c r="O426" s="33" t="n">
        <f aca="false">SUM(O422:O425)</f>
        <v>4549707.70855694</v>
      </c>
      <c r="P426" s="3"/>
    </row>
    <row r="427" customFormat="false" ht="15" hidden="false" customHeight="false" outlineLevel="0" collapsed="false">
      <c r="A427" s="3"/>
      <c r="B427" s="4" t="s">
        <v>410</v>
      </c>
      <c r="C427" s="36" t="n">
        <f aca="false">-C416*(Premissas!$E$70*Premissas!$C$34/Premissas!$B$6+Premissas!$E$75)*Premissas!$C$33*C421</f>
        <v>-0</v>
      </c>
      <c r="D427" s="36" t="n">
        <f aca="false">-D416*(Premissas!$E$70*Premissas!$C$34/Premissas!$B$6+Premissas!$E$75)*Premissas!$C$33*D421</f>
        <v>-0</v>
      </c>
      <c r="E427" s="36" t="n">
        <f aca="false">-E416*(Premissas!$E$70*Premissas!$C$34/Premissas!$B$6+Premissas!$E$75)*Premissas!$C$33*E421</f>
        <v>-0</v>
      </c>
      <c r="F427" s="36" t="n">
        <f aca="false">-F416*(Premissas!$E$70*Premissas!$C$34/Premissas!$B$6+Premissas!$E$75)*Premissas!$C$33*F421</f>
        <v>-847052.643478261</v>
      </c>
      <c r="G427" s="36" t="n">
        <f aca="false">-G416*(Premissas!$E$70*Premissas!$C$34/Premissas!$B$6+Premissas!$E$75)*Premissas!$C$33*G421</f>
        <v>-1026428.4973913</v>
      </c>
      <c r="H427" s="36" t="n">
        <f aca="false">-H416*(Premissas!$E$70*Premissas!$C$34/Premissas!$B$6+Premissas!$E$75)*Premissas!$C$33*H421</f>
        <v>-1057221.35231304</v>
      </c>
      <c r="I427" s="36" t="n">
        <f aca="false">-I416*(Premissas!$E$70*Premissas!$C$34/Premissas!$B$6+Premissas!$E$75)*Premissas!$C$33*I421</f>
        <v>-1088937.99288244</v>
      </c>
      <c r="J427" s="36" t="n">
        <f aca="false">-J416*(Premissas!$E$70*Premissas!$C$34/Premissas!$B$6+Premissas!$E$75)*Premissas!$C$33*J421</f>
        <v>-1121606.13266891</v>
      </c>
      <c r="K427" s="36" t="n">
        <f aca="false">-K416*(Premissas!$E$70*Premissas!$C$34/Premissas!$B$6+Premissas!$E$75)*Premissas!$C$33*K421</f>
        <v>-1155254.31664898</v>
      </c>
      <c r="L427" s="36" t="n">
        <f aca="false">-L416*(Premissas!$E$70*Premissas!$C$34/Premissas!$B$6+Premissas!$E$75)*Premissas!$C$33*L421</f>
        <v>-1189911.94614844</v>
      </c>
      <c r="M427" s="36" t="n">
        <f aca="false">-M416*(Premissas!$E$70*Premissas!$C$34/Premissas!$B$6+Premissas!$E$75)*Premissas!$C$33*M421</f>
        <v>-1225609.3045329</v>
      </c>
      <c r="N427" s="36" t="n">
        <f aca="false">-N416*(Premissas!$E$70*Premissas!$C$34/Premissas!$B$6+Premissas!$E$75)*Premissas!$C$33*N421</f>
        <v>-1262377.58366889</v>
      </c>
      <c r="O427" s="36" t="n">
        <f aca="false">-O416*(Premissas!$E$70*Premissas!$C$34/Premissas!$B$6+Premissas!$E$75)*Premissas!$C$33*O421</f>
        <v>-1300248.91117895</v>
      </c>
      <c r="P427" s="3"/>
    </row>
    <row r="428" customFormat="false" ht="15" hidden="false" customHeight="false" outlineLevel="0" collapsed="false">
      <c r="A428" s="3"/>
      <c r="B428" s="4" t="s">
        <v>411</v>
      </c>
      <c r="C428" s="36" t="n">
        <f aca="false">-IF(C$415&gt;=1,Premissas!$E$68*Premissas!$C$33*C421,0)</f>
        <v>-0</v>
      </c>
      <c r="D428" s="36" t="n">
        <f aca="false">-IF(D$415&gt;=1,Premissas!$E$68*Premissas!$C$33*D421,0)</f>
        <v>-0</v>
      </c>
      <c r="E428" s="36" t="n">
        <f aca="false">-IF(E$415&gt;=1,Premissas!$E$68*Premissas!$C$33*E421,0)</f>
        <v>-0</v>
      </c>
      <c r="F428" s="36" t="n">
        <f aca="false">-IF(F$415&gt;=1,Premissas!$E$68*Premissas!$C$33*F421,0)</f>
        <v>-2503266</v>
      </c>
      <c r="G428" s="36" t="n">
        <f aca="false">-IF(G$415&gt;=1,Premissas!$E$68*Premissas!$C$33*G421,0)</f>
        <v>-2578363.98</v>
      </c>
      <c r="H428" s="36" t="n">
        <f aca="false">-IF(H$415&gt;=1,Premissas!$E$68*Premissas!$C$33*H421,0)</f>
        <v>-2655714.8994</v>
      </c>
      <c r="I428" s="36" t="n">
        <f aca="false">-IF(I$415&gt;=1,Premissas!$E$68*Premissas!$C$33*I421,0)</f>
        <v>-2735386.346382</v>
      </c>
      <c r="J428" s="36" t="n">
        <f aca="false">-IF(J$415&gt;=1,Premissas!$E$68*Premissas!$C$33*J421,0)</f>
        <v>-2817447.93677346</v>
      </c>
      <c r="K428" s="36" t="n">
        <f aca="false">-IF(K$415&gt;=1,Premissas!$E$68*Premissas!$C$33*K421,0)</f>
        <v>-2901971.37487666</v>
      </c>
      <c r="L428" s="36" t="n">
        <f aca="false">-IF(L$415&gt;=1,Premissas!$E$68*Premissas!$C$33*L421,0)</f>
        <v>-2989030.51612296</v>
      </c>
      <c r="M428" s="36" t="n">
        <f aca="false">-IF(M$415&gt;=1,Premissas!$E$68*Premissas!$C$33*M421,0)</f>
        <v>-3078701.43160665</v>
      </c>
      <c r="N428" s="36" t="n">
        <f aca="false">-IF(N$415&gt;=1,Premissas!$E$68*Premissas!$C$33*N421,0)</f>
        <v>-3171062.47455485</v>
      </c>
      <c r="O428" s="36" t="n">
        <f aca="false">-IF(O$415&gt;=1,Premissas!$E$68*Premissas!$C$33*O421,0)</f>
        <v>-3266194.3487915</v>
      </c>
      <c r="P428" s="3"/>
    </row>
    <row r="429" customFormat="false" ht="15" hidden="false" customHeight="false" outlineLevel="0" collapsed="false">
      <c r="A429" s="3"/>
      <c r="B429" s="14" t="s">
        <v>412</v>
      </c>
      <c r="C429" s="33" t="n">
        <f aca="false">C426+C427+C428</f>
        <v>0</v>
      </c>
      <c r="D429" s="33" t="n">
        <f aca="false">D426+D427+D428</f>
        <v>0</v>
      </c>
      <c r="E429" s="33" t="n">
        <f aca="false">E426+E427+E428</f>
        <v>0</v>
      </c>
      <c r="F429" s="33" t="n">
        <f aca="false">F426+F427+F428</f>
        <v>-229760.643478261</v>
      </c>
      <c r="G429" s="33" t="n">
        <f aca="false">G426+G427+G428</f>
        <v>129364.522608695</v>
      </c>
      <c r="H429" s="33" t="n">
        <f aca="false">H426+H427+H428</f>
        <v>114574.673286956</v>
      </c>
      <c r="I429" s="33" t="n">
        <f aca="false">I426+I427+I428</f>
        <v>98874.358860563</v>
      </c>
      <c r="J429" s="33" t="n">
        <f aca="false">J426+J427+J428</f>
        <v>82224.5961357546</v>
      </c>
      <c r="K429" s="33" t="n">
        <f aca="false">K426+K427+K428</f>
        <v>64584.9406919368</v>
      </c>
      <c r="L429" s="33" t="n">
        <f aca="false">L426+L427+L428</f>
        <v>45913.4357516058</v>
      </c>
      <c r="M429" s="33" t="n">
        <f aca="false">M426+M427+M428</f>
        <v>26166.5593340402</v>
      </c>
      <c r="N429" s="33" t="n">
        <f aca="false">N426+N427+N428</f>
        <v>5299.16963669239</v>
      </c>
      <c r="O429" s="33" t="n">
        <f aca="false">O426+O427+O428</f>
        <v>-16735.5514135095</v>
      </c>
      <c r="P429" s="3"/>
    </row>
    <row r="430" customFormat="false" ht="15" hidden="false" customHeight="false" outlineLevel="0" collapsed="false">
      <c r="A430" s="3"/>
      <c r="B430" s="4" t="s">
        <v>413</v>
      </c>
      <c r="C430" s="42" t="n">
        <f aca="false">IF(C426=0,0,C429/C426)</f>
        <v>0</v>
      </c>
      <c r="D430" s="42" t="n">
        <f aca="false">IF(D426=0,0,D429/D426)</f>
        <v>0</v>
      </c>
      <c r="E430" s="42" t="n">
        <f aca="false">IF(E426=0,0,E429/E426)</f>
        <v>0</v>
      </c>
      <c r="F430" s="42" t="n">
        <f aca="false">IF(F426=0,0,F429/F426)</f>
        <v>-0.0736280637880343</v>
      </c>
      <c r="G430" s="42" t="n">
        <f aca="false">IF(G426=0,0,G429/G426)</f>
        <v>0.0346435681758145</v>
      </c>
      <c r="H430" s="42" t="n">
        <f aca="false">IF(H426=0,0,H429/H426)</f>
        <v>0.0299345124108185</v>
      </c>
      <c r="I430" s="42" t="n">
        <f aca="false">IF(I426=0,0,I429/I426)</f>
        <v>0.0252024856420904</v>
      </c>
      <c r="J430" s="42" t="n">
        <f aca="false">IF(J426=0,0,J429/J426)</f>
        <v>0.0204473758159542</v>
      </c>
      <c r="K430" s="42" t="n">
        <f aca="false">IF(K426=0,0,K429/K426)</f>
        <v>0.0156690703321296</v>
      </c>
      <c r="L430" s="42" t="n">
        <f aca="false">IF(L426=0,0,L429/L426)</f>
        <v>0.0108674560410665</v>
      </c>
      <c r="M430" s="42" t="n">
        <f aca="false">IF(M426=0,0,M429/M426)</f>
        <v>0.00604241924126715</v>
      </c>
      <c r="N430" s="42" t="n">
        <f aca="false">IF(N426=0,0,N429/N426)</f>
        <v>0.00119384567659018</v>
      </c>
      <c r="O430" s="42" t="n">
        <f aca="false">IF(O426=0,0,O429/O426)</f>
        <v>-0.00367837946645097</v>
      </c>
      <c r="P430" s="3"/>
    </row>
    <row r="431" customFormat="false" ht="15" hidden="false" customHeight="false" outlineLevel="0" collapsed="false">
      <c r="A431" s="3"/>
      <c r="B431" s="4" t="s">
        <v>414</v>
      </c>
      <c r="C431" s="36" t="n">
        <f aca="false">-IF(C$415&gt;=1,Premissas!$E$52*(1-Premissas!$C$36)/10,0)</f>
        <v>-0</v>
      </c>
      <c r="D431" s="36" t="n">
        <f aca="false">-IF(D$415&gt;=1,Premissas!$E$52*(1-Premissas!$C$36)/10,0)</f>
        <v>-0</v>
      </c>
      <c r="E431" s="36" t="n">
        <f aca="false">-IF(E$415&gt;=1,Premissas!$E$52*(1-Premissas!$C$36)/10,0)</f>
        <v>-0</v>
      </c>
      <c r="F431" s="36" t="n">
        <f aca="false">-IF(F$415&gt;=1,Premissas!$E$52*(1-Premissas!$C$36)/10,0)</f>
        <v>-530000</v>
      </c>
      <c r="G431" s="36" t="n">
        <f aca="false">-IF(G$415&gt;=1,Premissas!$E$52*(1-Premissas!$C$36)/10,0)</f>
        <v>-530000</v>
      </c>
      <c r="H431" s="36" t="n">
        <f aca="false">-IF(H$415&gt;=1,Premissas!$E$52*(1-Premissas!$C$36)/10,0)</f>
        <v>-530000</v>
      </c>
      <c r="I431" s="36" t="n">
        <f aca="false">-IF(I$415&gt;=1,Premissas!$E$52*(1-Premissas!$C$36)/10,0)</f>
        <v>-530000</v>
      </c>
      <c r="J431" s="36" t="n">
        <f aca="false">-IF(J$415&gt;=1,Premissas!$E$52*(1-Premissas!$C$36)/10,0)</f>
        <v>-530000</v>
      </c>
      <c r="K431" s="36" t="n">
        <f aca="false">-IF(K$415&gt;=1,Premissas!$E$52*(1-Premissas!$C$36)/10,0)</f>
        <v>-530000</v>
      </c>
      <c r="L431" s="36" t="n">
        <f aca="false">-IF(L$415&gt;=1,Premissas!$E$52*(1-Premissas!$C$36)/10,0)</f>
        <v>-530000</v>
      </c>
      <c r="M431" s="36" t="n">
        <f aca="false">-IF(M$415&gt;=1,Premissas!$E$52*(1-Premissas!$C$36)/10,0)</f>
        <v>-530000</v>
      </c>
      <c r="N431" s="36" t="n">
        <f aca="false">-IF(N$415&gt;=1,Premissas!$E$52*(1-Premissas!$C$36)/10,0)</f>
        <v>-530000</v>
      </c>
      <c r="O431" s="36" t="n">
        <f aca="false">-IF(O$415&gt;=1,Premissas!$E$52*(1-Premissas!$C$36)/10,0)</f>
        <v>-530000</v>
      </c>
      <c r="P431" s="3"/>
    </row>
    <row r="432" customFormat="false" ht="15" hidden="false" customHeight="false" outlineLevel="0" collapsed="false">
      <c r="A432" s="3"/>
      <c r="B432" s="14" t="s">
        <v>415</v>
      </c>
      <c r="C432" s="40" t="n">
        <f aca="false">C429+C431</f>
        <v>0</v>
      </c>
      <c r="D432" s="40" t="n">
        <f aca="false">D429+D431</f>
        <v>0</v>
      </c>
      <c r="E432" s="40" t="n">
        <f aca="false">E429+E431</f>
        <v>0</v>
      </c>
      <c r="F432" s="40" t="n">
        <f aca="false">F429+F431</f>
        <v>-759760.643478261</v>
      </c>
      <c r="G432" s="40" t="n">
        <f aca="false">G429+G431</f>
        <v>-400635.477391305</v>
      </c>
      <c r="H432" s="40" t="n">
        <f aca="false">H429+H431</f>
        <v>-415425.326713044</v>
      </c>
      <c r="I432" s="40" t="n">
        <f aca="false">I429+I431</f>
        <v>-431125.641139437</v>
      </c>
      <c r="J432" s="40" t="n">
        <f aca="false">J429+J431</f>
        <v>-447775.403864245</v>
      </c>
      <c r="K432" s="40" t="n">
        <f aca="false">K429+K431</f>
        <v>-465415.059308063</v>
      </c>
      <c r="L432" s="40" t="n">
        <f aca="false">L429+L431</f>
        <v>-484086.564248394</v>
      </c>
      <c r="M432" s="40" t="n">
        <f aca="false">M429+M431</f>
        <v>-503833.44066596</v>
      </c>
      <c r="N432" s="40" t="n">
        <f aca="false">N429+N431</f>
        <v>-524700.830363308</v>
      </c>
      <c r="O432" s="40" t="n">
        <f aca="false">O429+O431</f>
        <v>-546735.55141351</v>
      </c>
      <c r="P432" s="3"/>
    </row>
    <row r="433" customFormat="false" ht="15" hidden="false" customHeight="false" outlineLevel="0" collapsed="false">
      <c r="A433" s="3"/>
      <c r="B433" s="4" t="s">
        <v>416</v>
      </c>
      <c r="C433" s="36" t="n">
        <f aca="false">-MAX(0,C432)*Premissas!$B$11</f>
        <v>-0</v>
      </c>
      <c r="D433" s="36" t="n">
        <f aca="false">-MAX(0,D432)*Premissas!$B$11</f>
        <v>-0</v>
      </c>
      <c r="E433" s="36" t="n">
        <f aca="false">-MAX(0,E432)*Premissas!$B$11</f>
        <v>-0</v>
      </c>
      <c r="F433" s="36" t="n">
        <f aca="false">-MAX(0,F432)*Premissas!$B$11</f>
        <v>-0</v>
      </c>
      <c r="G433" s="36" t="n">
        <f aca="false">-MAX(0,G432)*Premissas!$B$11</f>
        <v>-0</v>
      </c>
      <c r="H433" s="36" t="n">
        <f aca="false">-MAX(0,H432)*Premissas!$B$11</f>
        <v>-0</v>
      </c>
      <c r="I433" s="36" t="n">
        <f aca="false">-MAX(0,I432)*Premissas!$B$11</f>
        <v>-0</v>
      </c>
      <c r="J433" s="36" t="n">
        <f aca="false">-MAX(0,J432)*Premissas!$B$11</f>
        <v>-0</v>
      </c>
      <c r="K433" s="36" t="n">
        <f aca="false">-MAX(0,K432)*Premissas!$B$11</f>
        <v>-0</v>
      </c>
      <c r="L433" s="36" t="n">
        <f aca="false">-MAX(0,L432)*Premissas!$B$11</f>
        <v>-0</v>
      </c>
      <c r="M433" s="36" t="n">
        <f aca="false">-MAX(0,M432)*Premissas!$B$11</f>
        <v>-0</v>
      </c>
      <c r="N433" s="36" t="n">
        <f aca="false">-MAX(0,N432)*Premissas!$B$11</f>
        <v>-0</v>
      </c>
      <c r="O433" s="36" t="n">
        <f aca="false">-MAX(0,O432)*Premissas!$B$11</f>
        <v>-0</v>
      </c>
      <c r="P433" s="3"/>
    </row>
    <row r="434" customFormat="false" ht="15" hidden="false" customHeight="false" outlineLevel="0" collapsed="false">
      <c r="A434" s="3"/>
      <c r="B434" s="4" t="s">
        <v>417</v>
      </c>
      <c r="C434" s="36" t="n">
        <f aca="false">-(IF(C$415=3,Premissas!$E$80,0)+IF(C$415=5,Premissas!$E$81,0)+IF(C$415=8,Premissas!$E$82,0)+IF(C$415=10,Premissas!$E$83,0))*C421</f>
        <v>-0</v>
      </c>
      <c r="D434" s="36" t="n">
        <f aca="false">-(IF(D$415=3,Premissas!$E$80,0)+IF(D$415=5,Premissas!$E$81,0)+IF(D$415=8,Premissas!$E$82,0)+IF(D$415=10,Premissas!$E$83,0))*D421</f>
        <v>-0</v>
      </c>
      <c r="E434" s="36" t="n">
        <f aca="false">-(IF(E$415=3,Premissas!$E$80,0)+IF(E$415=5,Premissas!$E$81,0)+IF(E$415=8,Premissas!$E$82,0)+IF(E$415=10,Premissas!$E$83,0))*E421</f>
        <v>-0</v>
      </c>
      <c r="F434" s="36" t="n">
        <f aca="false">-(IF(F$415=3,Premissas!$E$80,0)+IF(F$415=5,Premissas!$E$81,0)+IF(F$415=8,Premissas!$E$82,0)+IF(F$415=10,Premissas!$E$83,0))*F421</f>
        <v>-0</v>
      </c>
      <c r="G434" s="36" t="n">
        <f aca="false">-(IF(G$415=3,Premissas!$E$80,0)+IF(G$415=5,Premissas!$E$81,0)+IF(G$415=8,Premissas!$E$82,0)+IF(G$415=10,Premissas!$E$83,0))*G421</f>
        <v>-0</v>
      </c>
      <c r="H434" s="36" t="n">
        <f aca="false">-(IF(H$415=3,Premissas!$E$80,0)+IF(H$415=5,Premissas!$E$81,0)+IF(H$415=8,Premissas!$E$82,0)+IF(H$415=10,Premissas!$E$83,0))*H421</f>
        <v>-371315</v>
      </c>
      <c r="I434" s="36" t="n">
        <f aca="false">-(IF(I$415=3,Premissas!$E$80,0)+IF(I$415=5,Premissas!$E$81,0)+IF(I$415=8,Premissas!$E$82,0)+IF(I$415=10,Premissas!$E$83,0))*I421</f>
        <v>-0</v>
      </c>
      <c r="J434" s="36" t="n">
        <f aca="false">-(IF(J$415=3,Premissas!$E$80,0)+IF(J$415=5,Premissas!$E$81,0)+IF(J$415=8,Premissas!$E$82,0)+IF(J$415=10,Premissas!$E$83,0))*J421</f>
        <v>-844131.6075</v>
      </c>
      <c r="K434" s="36" t="n">
        <f aca="false">-(IF(K$415=3,Premissas!$E$80,0)+IF(K$415=5,Premissas!$E$81,0)+IF(K$415=8,Premissas!$E$82,0)+IF(K$415=10,Premissas!$E$83,0))*K421</f>
        <v>-0</v>
      </c>
      <c r="L434" s="36" t="n">
        <f aca="false">-(IF(L$415=3,Premissas!$E$80,0)+IF(L$415=5,Premissas!$E$81,0)+IF(L$415=8,Premissas!$E$82,0)+IF(L$415=10,Premissas!$E$83,0))*L421</f>
        <v>-0</v>
      </c>
      <c r="M434" s="36" t="n">
        <f aca="false">-(IF(M$415=3,Premissas!$E$80,0)+IF(M$415=5,Premissas!$E$81,0)+IF(M$415=8,Premissas!$E$82,0)+IF(M$415=10,Premissas!$E$83,0))*M421</f>
        <v>-491949.546169948</v>
      </c>
      <c r="N434" s="36" t="n">
        <f aca="false">-(IF(N$415=3,Premissas!$E$80,0)+IF(N$415=5,Premissas!$E$81,0)+IF(N$415=8,Premissas!$E$82,0)+IF(N$415=10,Premissas!$E$83,0))*N421</f>
        <v>-0</v>
      </c>
      <c r="O434" s="36" t="n">
        <f aca="false">-(IF(O$415=3,Premissas!$E$80,0)+IF(O$415=5,Premissas!$E$81,0)+IF(O$415=8,Premissas!$E$82,0)+IF(O$415=10,Premissas!$E$83,0))*O421</f>
        <v>-1109057.20625486</v>
      </c>
      <c r="P434" s="3"/>
    </row>
    <row r="435" customFormat="false" ht="15" hidden="false" customHeight="false" outlineLevel="0" collapsed="false">
      <c r="A435" s="3"/>
      <c r="B435" s="4" t="s">
        <v>418</v>
      </c>
      <c r="C435" s="36" t="n">
        <f aca="false">-IF(C$415&gt;=1,Premissas!$E$52*(Premissas!$E$84+IF(C$415=6,Premissas!$E$85,0))*C421,0)</f>
        <v>-0</v>
      </c>
      <c r="D435" s="36" t="n">
        <f aca="false">-IF(D$415&gt;=1,Premissas!$E$52*(Premissas!$E$84+IF(D$415=6,Premissas!$E$85,0))*D421,0)</f>
        <v>-0</v>
      </c>
      <c r="E435" s="36" t="n">
        <f aca="false">-IF(E$415&gt;=1,Premissas!$E$52*(Premissas!$E$84+IF(E$415=6,Premissas!$E$85,0))*E421,0)</f>
        <v>-0</v>
      </c>
      <c r="F435" s="36" t="n">
        <f aca="false">-IF(F$415&gt;=1,Premissas!$E$52*(Premissas!$E$84+IF(F$415=6,Premissas!$E$85,0))*F421,0)</f>
        <v>-106000</v>
      </c>
      <c r="G435" s="36" t="n">
        <f aca="false">-IF(G$415&gt;=1,Premissas!$E$52*(Premissas!$E$84+IF(G$415=6,Premissas!$E$85,0))*G421,0)</f>
        <v>-109180</v>
      </c>
      <c r="H435" s="36" t="n">
        <f aca="false">-IF(H$415&gt;=1,Premissas!$E$52*(Premissas!$E$84+IF(H$415=6,Premissas!$E$85,0))*H421,0)</f>
        <v>-112455.4</v>
      </c>
      <c r="I435" s="36" t="n">
        <f aca="false">-IF(I$415&gt;=1,Premissas!$E$52*(Premissas!$E$84+IF(I$415=6,Premissas!$E$85,0))*I421,0)</f>
        <v>-115829.062</v>
      </c>
      <c r="J435" s="36" t="n">
        <f aca="false">-IF(J$415&gt;=1,Premissas!$E$52*(Premissas!$E$84+IF(J$415=6,Premissas!$E$85,0))*J421,0)</f>
        <v>-119303.93386</v>
      </c>
      <c r="K435" s="36" t="n">
        <f aca="false">-IF(K$415&gt;=1,Premissas!$E$52*(Premissas!$E$84+IF(K$415=6,Premissas!$E$85,0))*K421,0)</f>
        <v>-614415.259379</v>
      </c>
      <c r="L435" s="36" t="n">
        <f aca="false">-IF(L$415&gt;=1,Premissas!$E$52*(Premissas!$E$84+IF(L$415=6,Premissas!$E$85,0))*L421,0)</f>
        <v>-126569.543432074</v>
      </c>
      <c r="M435" s="36" t="n">
        <f aca="false">-IF(M$415&gt;=1,Premissas!$E$52*(Premissas!$E$84+IF(M$415=6,Premissas!$E$85,0))*M421,0)</f>
        <v>-130366.629735036</v>
      </c>
      <c r="N435" s="36" t="n">
        <f aca="false">-IF(N$415&gt;=1,Premissas!$E$52*(Premissas!$E$84+IF(N$415=6,Premissas!$E$85,0))*N421,0)</f>
        <v>-134277.628627087</v>
      </c>
      <c r="O435" s="36" t="n">
        <f aca="false">-IF(O$415&gt;=1,Premissas!$E$52*(Premissas!$E$84+IF(O$415=6,Premissas!$E$85,0))*O421,0)</f>
        <v>-138305.9574859</v>
      </c>
      <c r="P435" s="3"/>
    </row>
    <row r="436" customFormat="false" ht="15" hidden="false" customHeight="false" outlineLevel="0" collapsed="false">
      <c r="A436" s="3"/>
      <c r="B436" s="4" t="s">
        <v>419</v>
      </c>
      <c r="C436" s="36" t="n">
        <f aca="false">-Premissas!$E$52*Premissas!$E$53</f>
        <v>-0</v>
      </c>
      <c r="D436" s="36" t="n">
        <f aca="false">-Premissas!$E$52*Premissas!$E$54</f>
        <v>-0</v>
      </c>
      <c r="E436" s="36" t="n">
        <f aca="false">-Premissas!$E$52*Premissas!$E$55</f>
        <v>-10600000</v>
      </c>
      <c r="F436" s="36" t="n">
        <v>0</v>
      </c>
      <c r="G436" s="36" t="n">
        <v>0</v>
      </c>
      <c r="H436" s="36" t="n">
        <v>0</v>
      </c>
      <c r="I436" s="36" t="n">
        <v>0</v>
      </c>
      <c r="J436" s="36" t="n">
        <v>0</v>
      </c>
      <c r="K436" s="36" t="n">
        <v>0</v>
      </c>
      <c r="L436" s="36" t="n">
        <v>0</v>
      </c>
      <c r="M436" s="36" t="n">
        <v>0</v>
      </c>
      <c r="N436" s="36" t="n">
        <v>0</v>
      </c>
      <c r="O436" s="36" t="n">
        <v>0</v>
      </c>
      <c r="P436" s="3"/>
    </row>
    <row r="437" customFormat="false" ht="15" hidden="false" customHeight="false" outlineLevel="0" collapsed="false">
      <c r="A437" s="3"/>
      <c r="B437" s="4" t="s">
        <v>420</v>
      </c>
      <c r="C437" s="36" t="n">
        <f aca="false">IF(C$415=10,Premissas!$E$52*Premissas!$C$36,0)</f>
        <v>0</v>
      </c>
      <c r="D437" s="36" t="n">
        <f aca="false">IF(D$415=10,Premissas!$E$52*Premissas!$C$36,0)</f>
        <v>0</v>
      </c>
      <c r="E437" s="36" t="n">
        <f aca="false">IF(E$415=10,Premissas!$E$52*Premissas!$C$36,0)</f>
        <v>0</v>
      </c>
      <c r="F437" s="36" t="n">
        <f aca="false">IF(F$415=10,Premissas!$E$52*Premissas!$C$36,0)</f>
        <v>0</v>
      </c>
      <c r="G437" s="36" t="n">
        <f aca="false">IF(G$415=10,Premissas!$E$52*Premissas!$C$36,0)</f>
        <v>0</v>
      </c>
      <c r="H437" s="36" t="n">
        <f aca="false">IF(H$415=10,Premissas!$E$52*Premissas!$C$36,0)</f>
        <v>0</v>
      </c>
      <c r="I437" s="36" t="n">
        <f aca="false">IF(I$415=10,Premissas!$E$52*Premissas!$C$36,0)</f>
        <v>0</v>
      </c>
      <c r="J437" s="36" t="n">
        <f aca="false">IF(J$415=10,Premissas!$E$52*Premissas!$C$36,0)</f>
        <v>0</v>
      </c>
      <c r="K437" s="36" t="n">
        <f aca="false">IF(K$415=10,Premissas!$E$52*Premissas!$C$36,0)</f>
        <v>0</v>
      </c>
      <c r="L437" s="36" t="n">
        <f aca="false">IF(L$415=10,Premissas!$E$52*Premissas!$C$36,0)</f>
        <v>0</v>
      </c>
      <c r="M437" s="36" t="n">
        <f aca="false">IF(M$415=10,Premissas!$E$52*Premissas!$C$36,0)</f>
        <v>0</v>
      </c>
      <c r="N437" s="36" t="n">
        <f aca="false">IF(N$415=10,Premissas!$E$52*Premissas!$C$36,0)</f>
        <v>0</v>
      </c>
      <c r="O437" s="36" t="n">
        <f aca="false">IF(O$415=10,Premissas!$E$52*Premissas!$C$36,0)</f>
        <v>5300000</v>
      </c>
      <c r="P437" s="3"/>
    </row>
    <row r="438" customFormat="false" ht="15" hidden="false" customHeight="false" outlineLevel="0" collapsed="false">
      <c r="A438" s="3"/>
      <c r="B438" s="14" t="s">
        <v>421</v>
      </c>
      <c r="C438" s="33" t="n">
        <f aca="false">C429+C433+C434+C435+C436+C437</f>
        <v>0</v>
      </c>
      <c r="D438" s="33" t="n">
        <f aca="false">D429+D433+D434+D435+D436+D437</f>
        <v>0</v>
      </c>
      <c r="E438" s="33" t="n">
        <f aca="false">E429+E433+E434+E435+E436+E437</f>
        <v>-10600000</v>
      </c>
      <c r="F438" s="33" t="n">
        <f aca="false">F429+F433+F434+F435+F436+F437</f>
        <v>-335760.643478261</v>
      </c>
      <c r="G438" s="33" t="n">
        <f aca="false">G429+G433+G434+G435+G436+G437</f>
        <v>20184.5226086951</v>
      </c>
      <c r="H438" s="33" t="n">
        <f aca="false">H429+H433+H434+H435+H436+H437</f>
        <v>-369195.726713044</v>
      </c>
      <c r="I438" s="33" t="n">
        <f aca="false">I429+I433+I434+I435+I436+I437</f>
        <v>-16954.703139437</v>
      </c>
      <c r="J438" s="33" t="n">
        <f aca="false">J429+J433+J434+J435+J436+J437</f>
        <v>-881210.945224246</v>
      </c>
      <c r="K438" s="33" t="n">
        <f aca="false">K429+K433+K434+K435+K436+K437</f>
        <v>-549830.318687063</v>
      </c>
      <c r="L438" s="33" t="n">
        <f aca="false">L429+L433+L434+L435+L436+L437</f>
        <v>-80656.1076804682</v>
      </c>
      <c r="M438" s="33" t="n">
        <f aca="false">M429+M433+M434+M435+M436+M437</f>
        <v>-596149.616570944</v>
      </c>
      <c r="N438" s="33" t="n">
        <f aca="false">N429+N433+N434+N435+N436+N437</f>
        <v>-128978.458990395</v>
      </c>
      <c r="O438" s="33" t="n">
        <f aca="false">O429+O433+O434+O435+O436+O437</f>
        <v>4035901.28484573</v>
      </c>
      <c r="P438" s="3"/>
    </row>
    <row r="439" customFormat="false" ht="15" hidden="false" customHeight="false" outlineLevel="0" collapsed="false">
      <c r="A439" s="3"/>
      <c r="B439" s="4" t="s">
        <v>422</v>
      </c>
      <c r="C439" s="36" t="n">
        <f aca="false">C438-C437</f>
        <v>0</v>
      </c>
      <c r="D439" s="36" t="n">
        <f aca="false">C439+D438-D437</f>
        <v>0</v>
      </c>
      <c r="E439" s="36" t="n">
        <f aca="false">D439+E438-E437</f>
        <v>-10600000</v>
      </c>
      <c r="F439" s="36" t="n">
        <f aca="false">E439+F438-F437</f>
        <v>-10935760.6434783</v>
      </c>
      <c r="G439" s="36" t="n">
        <f aca="false">F439+G438-G437</f>
        <v>-10915576.1208696</v>
      </c>
      <c r="H439" s="36" t="n">
        <f aca="false">G439+H438-H437</f>
        <v>-11284771.8475826</v>
      </c>
      <c r="I439" s="36" t="n">
        <f aca="false">H439+I438-I437</f>
        <v>-11301726.550722</v>
      </c>
      <c r="J439" s="36" t="n">
        <f aca="false">I439+J438-J437</f>
        <v>-12182937.4959463</v>
      </c>
      <c r="K439" s="36" t="n">
        <f aca="false">J439+K438-K437</f>
        <v>-12732767.8146334</v>
      </c>
      <c r="L439" s="36" t="n">
        <f aca="false">K439+L438-L437</f>
        <v>-12813423.9223138</v>
      </c>
      <c r="M439" s="36" t="n">
        <f aca="false">L439+M438-M437</f>
        <v>-13409573.5388848</v>
      </c>
      <c r="N439" s="36" t="n">
        <f aca="false">M439+N438-N437</f>
        <v>-13538551.9978752</v>
      </c>
      <c r="O439" s="36" t="n">
        <f aca="false">N439+O438-O437</f>
        <v>-14802650.7130294</v>
      </c>
      <c r="P439" s="3"/>
    </row>
    <row r="440" customFormat="false" ht="15" hidden="false" customHeight="false" outlineLevel="0" collapsed="false">
      <c r="A440" s="3"/>
      <c r="B440" s="6" t="s">
        <v>423</v>
      </c>
      <c r="C440" s="46" t="n">
        <v>0</v>
      </c>
      <c r="D440" s="46" t="n">
        <v>0</v>
      </c>
      <c r="E440" s="46" t="n">
        <v>0</v>
      </c>
      <c r="F440" s="46" t="n">
        <f aca="false">IF(AND(E439&lt;0,F439&gt;=0),F$415-1+(-E439)/(F438-F437),0)</f>
        <v>0</v>
      </c>
      <c r="G440" s="46" t="n">
        <f aca="false">IF(AND(F439&lt;0,G439&gt;=0),G$415-1+(-F439)/(G438-G437),0)</f>
        <v>0</v>
      </c>
      <c r="H440" s="46" t="n">
        <f aca="false">IF(AND(G439&lt;0,H439&gt;=0),H$415-1+(-G439)/(H438-H437),0)</f>
        <v>0</v>
      </c>
      <c r="I440" s="46" t="n">
        <f aca="false">IF(AND(H439&lt;0,I439&gt;=0),I$415-1+(-H439)/(I438-I437),0)</f>
        <v>0</v>
      </c>
      <c r="J440" s="46" t="n">
        <f aca="false">IF(AND(I439&lt;0,J439&gt;=0),J$415-1+(-I439)/(J438-J437),0)</f>
        <v>0</v>
      </c>
      <c r="K440" s="46" t="n">
        <f aca="false">IF(AND(J439&lt;0,K439&gt;=0),K$415-1+(-J439)/(K438-K437),0)</f>
        <v>0</v>
      </c>
      <c r="L440" s="46" t="n">
        <f aca="false">IF(AND(K439&lt;0,L439&gt;=0),L$415-1+(-K439)/(L438-L437),0)</f>
        <v>0</v>
      </c>
      <c r="M440" s="46" t="n">
        <f aca="false">IF(AND(L439&lt;0,M439&gt;=0),M$415-1+(-L439)/(M438-M437),0)</f>
        <v>0</v>
      </c>
      <c r="N440" s="46" t="n">
        <f aca="false">IF(AND(M439&lt;0,N439&gt;=0),N$415-1+(-M439)/(N438-N437),0)</f>
        <v>0</v>
      </c>
      <c r="O440" s="46" t="n">
        <f aca="false">IF(AND(N439&lt;0,O439&gt;=0),O$415-1+(-N439)/(O438-O437),0)</f>
        <v>0</v>
      </c>
      <c r="P440" s="3"/>
    </row>
    <row r="441" customFormat="false" ht="15" hidden="false" customHeight="false" outlineLevel="0" collapsed="false">
      <c r="A441" s="3"/>
      <c r="B441" s="14" t="s">
        <v>424</v>
      </c>
      <c r="C441" s="47" t="n">
        <f aca="false">IFERROR(IRR(C438:O438,0.05),IFERROR(IRR(C438:O438,-0.05),IF(SUM(C438:O438)&lt;0,"negativa","n/d")))</f>
        <v>-0.135553152458151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customFormat="false" ht="15" hidden="false" customHeight="false" outlineLevel="0" collapsed="false">
      <c r="A442" s="3"/>
      <c r="B442" s="14" t="s">
        <v>425</v>
      </c>
      <c r="C442" s="48" t="n">
        <f aca="false">C438*(1+Premissas!$B$10)^2+D438*(1+Premissas!$B$10)+E438+NPV(Premissas!$B$10,F438:O438)</f>
        <v>-10853227.9085005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customFormat="false" ht="15" hidden="false" customHeight="false" outlineLevel="0" collapsed="false">
      <c r="A443" s="3"/>
      <c r="B443" s="14" t="s">
        <v>426</v>
      </c>
      <c r="C443" s="49" t="str">
        <f aca="false">IF(SUM(F440:O440)=0,"&gt; 10",SUM(F440:O440))</f>
        <v>&gt; 10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customFormat="false" ht="15" hidden="false" customHeight="false" outlineLevel="0" collapsed="false">
      <c r="A444" s="3"/>
      <c r="B444" s="14" t="s">
        <v>427</v>
      </c>
      <c r="C444" s="47" t="n">
        <f aca="false">SUM(C438:O438)/-SUM(C436:E436)</f>
        <v>-0.896476482361267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customFormat="false" ht="15" hidden="false" customHeight="false" outlineLevel="0" collapsed="false">
      <c r="A445" s="3"/>
      <c r="B445" s="14" t="s">
        <v>428</v>
      </c>
      <c r="C445" s="47" t="n">
        <f aca="false">AVERAGE(F432:O432)*(1-Premissas!$B$11)/-SUM(C436:E436)</f>
        <v>-0.0310043962213816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customFormat="false" ht="15" hidden="false" customHeight="false" outlineLevel="0" collapsed="false">
      <c r="A446" s="3"/>
      <c r="B446" s="14" t="s">
        <v>429</v>
      </c>
      <c r="C446" s="48" t="n">
        <f aca="false">H429</f>
        <v>114574.673286956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customFormat="false" ht="15" hidden="false" customHeight="false" outlineLevel="0" collapsed="false">
      <c r="A447" s="3"/>
      <c r="B447" s="14" t="s">
        <v>430</v>
      </c>
      <c r="C447" s="48" t="n">
        <f aca="false">H426</f>
        <v>3827510.925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customFormat="false" ht="15" hidden="false" customHeight="false" outlineLevel="0" collapsed="false">
      <c r="A448" s="3"/>
      <c r="B448" s="14" t="s">
        <v>431</v>
      </c>
      <c r="C448" s="47" t="n">
        <f aca="false">H430</f>
        <v>0.0299345124108185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customFormat="false" ht="15" hidden="false" customHeight="false" outlineLevel="0" collapsed="false">
      <c r="A449" s="3"/>
      <c r="B449" s="14" t="s">
        <v>432</v>
      </c>
      <c r="C449" s="48" t="n">
        <f aca="false">-(H427+H428)</f>
        <v>3712936.25171304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customFormat="false" ht="15" hidden="false" customHeight="false" outlineLevel="0" collapsed="false">
      <c r="A450" s="3"/>
      <c r="B450" s="14" t="s">
        <v>433</v>
      </c>
      <c r="C450" s="50" t="n">
        <f aca="false">IFERROR(-H428/((H426+H427)/H416),"n/d")</f>
        <v>24.9246822661317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customFormat="false" ht="15" hidden="false" customHeight="false" outlineLevel="0" collapsed="false">
      <c r="A451" s="3"/>
      <c r="B451" s="14" t="s">
        <v>434</v>
      </c>
      <c r="C451" s="48" t="n">
        <f aca="false">-SUM(C436:E436)</f>
        <v>10600000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customFormat="false" ht="15" hidden="false" customHeight="false" outlineLevel="0" collapsed="false">
      <c r="A452" s="3"/>
      <c r="B452" s="14" t="s">
        <v>435</v>
      </c>
      <c r="C452" s="48" t="n">
        <f aca="false">O437</f>
        <v>5300000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customFormat="false" ht="15" hidden="false" customHeight="false" outlineLevel="0" collapsed="false">
      <c r="A455" s="3"/>
      <c r="B455" s="19" t="s">
        <v>446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customFormat="false" ht="15" hidden="false" customHeight="false" outlineLevel="0" collapsed="false">
      <c r="A456" s="3"/>
      <c r="B456" s="14" t="s">
        <v>398</v>
      </c>
      <c r="C456" s="44" t="n">
        <v>-2</v>
      </c>
      <c r="D456" s="44" t="n">
        <v>-1</v>
      </c>
      <c r="E456" s="44" t="n">
        <v>0</v>
      </c>
      <c r="F456" s="44" t="n">
        <v>1</v>
      </c>
      <c r="G456" s="44" t="n">
        <v>2</v>
      </c>
      <c r="H456" s="44" t="n">
        <v>3</v>
      </c>
      <c r="I456" s="44" t="n">
        <v>4</v>
      </c>
      <c r="J456" s="44" t="n">
        <v>5</v>
      </c>
      <c r="K456" s="44" t="n">
        <v>6</v>
      </c>
      <c r="L456" s="44" t="n">
        <v>7</v>
      </c>
      <c r="M456" s="44" t="n">
        <v>8</v>
      </c>
      <c r="N456" s="44" t="n">
        <v>9</v>
      </c>
      <c r="O456" s="44" t="n">
        <v>10</v>
      </c>
      <c r="P456" s="3"/>
    </row>
    <row r="457" customFormat="false" ht="15" hidden="false" customHeight="false" outlineLevel="0" collapsed="false">
      <c r="A457" s="3"/>
      <c r="B457" s="4" t="s">
        <v>399</v>
      </c>
      <c r="C457" s="39" t="n">
        <f aca="false">IF(C$456&gt;=1,Premissas!$D$29*IF(C$456=1,Premissas!$D$37,1),0)</f>
        <v>0</v>
      </c>
      <c r="D457" s="39" t="n">
        <f aca="false">IF(D$456&gt;=1,Premissas!$D$29*IF(D$456=1,Premissas!$D$37,1),0)</f>
        <v>0</v>
      </c>
      <c r="E457" s="39" t="n">
        <f aca="false">IF(E$456&gt;=1,Premissas!$D$29*IF(E$456=1,Premissas!$D$37,1),0)</f>
        <v>0</v>
      </c>
      <c r="F457" s="39" t="n">
        <f aca="false">IF(F$456&gt;=1,Premissas!$D$29*IF(F$456=1,Premissas!$D$37,1),0)</f>
        <v>28.5</v>
      </c>
      <c r="G457" s="39" t="n">
        <f aca="false">IF(G$456&gt;=1,Premissas!$D$29*IF(G$456=1,Premissas!$D$37,1),0)</f>
        <v>30</v>
      </c>
      <c r="H457" s="39" t="n">
        <f aca="false">IF(H$456&gt;=1,Premissas!$D$29*IF(H$456=1,Premissas!$D$37,1),0)</f>
        <v>30</v>
      </c>
      <c r="I457" s="39" t="n">
        <f aca="false">IF(I$456&gt;=1,Premissas!$D$29*IF(I$456=1,Premissas!$D$37,1),0)</f>
        <v>30</v>
      </c>
      <c r="J457" s="39" t="n">
        <f aca="false">IF(J$456&gt;=1,Premissas!$D$29*IF(J$456=1,Premissas!$D$37,1),0)</f>
        <v>30</v>
      </c>
      <c r="K457" s="39" t="n">
        <f aca="false">IF(K$456&gt;=1,Premissas!$D$29*IF(K$456=1,Premissas!$D$37,1),0)</f>
        <v>30</v>
      </c>
      <c r="L457" s="39" t="n">
        <f aca="false">IF(L$456&gt;=1,Premissas!$D$29*IF(L$456=1,Premissas!$D$37,1),0)</f>
        <v>30</v>
      </c>
      <c r="M457" s="39" t="n">
        <f aca="false">IF(M$456&gt;=1,Premissas!$D$29*IF(M$456=1,Premissas!$D$37,1),0)</f>
        <v>30</v>
      </c>
      <c r="N457" s="39" t="n">
        <f aca="false">IF(N$456&gt;=1,Premissas!$D$29*IF(N$456=1,Premissas!$D$37,1),0)</f>
        <v>30</v>
      </c>
      <c r="O457" s="39" t="n">
        <f aca="false">IF(O$456&gt;=1,Premissas!$D$29*IF(O$456=1,Premissas!$D$37,1),0)</f>
        <v>30</v>
      </c>
      <c r="P457" s="3"/>
    </row>
    <row r="458" customFormat="false" ht="15" hidden="false" customHeight="false" outlineLevel="0" collapsed="false">
      <c r="A458" s="3"/>
      <c r="B458" s="4" t="s">
        <v>400</v>
      </c>
      <c r="C458" s="39" t="n">
        <f aca="false">MIN(C457,Premissas!$D$30)</f>
        <v>0</v>
      </c>
      <c r="D458" s="39" t="n">
        <f aca="false">MIN(D457,Premissas!$D$30)</f>
        <v>0</v>
      </c>
      <c r="E458" s="39" t="n">
        <f aca="false">MIN(E457,Premissas!$D$30)</f>
        <v>0</v>
      </c>
      <c r="F458" s="39" t="n">
        <f aca="false">MIN(F457,Premissas!$D$30)</f>
        <v>12</v>
      </c>
      <c r="G458" s="39" t="n">
        <f aca="false">MIN(G457,Premissas!$D$30)</f>
        <v>12</v>
      </c>
      <c r="H458" s="39" t="n">
        <f aca="false">MIN(H457,Premissas!$D$30)</f>
        <v>12</v>
      </c>
      <c r="I458" s="39" t="n">
        <f aca="false">MIN(I457,Premissas!$D$30)</f>
        <v>12</v>
      </c>
      <c r="J458" s="39" t="n">
        <f aca="false">MIN(J457,Premissas!$D$30)</f>
        <v>12</v>
      </c>
      <c r="K458" s="39" t="n">
        <f aca="false">MIN(K457,Premissas!$D$30)</f>
        <v>12</v>
      </c>
      <c r="L458" s="39" t="n">
        <f aca="false">MIN(L457,Premissas!$D$30)</f>
        <v>12</v>
      </c>
      <c r="M458" s="39" t="n">
        <f aca="false">MIN(M457,Premissas!$D$30)</f>
        <v>12</v>
      </c>
      <c r="N458" s="39" t="n">
        <f aca="false">MIN(N457,Premissas!$D$30)</f>
        <v>12</v>
      </c>
      <c r="O458" s="39" t="n">
        <f aca="false">MIN(O457,Premissas!$D$30)</f>
        <v>12</v>
      </c>
      <c r="P458" s="3"/>
    </row>
    <row r="459" customFormat="false" ht="15" hidden="false" customHeight="false" outlineLevel="0" collapsed="false">
      <c r="A459" s="3"/>
      <c r="B459" s="4" t="s">
        <v>401</v>
      </c>
      <c r="C459" s="39" t="n">
        <f aca="false">MIN(C457-C458,Premissas!$D$31)</f>
        <v>0</v>
      </c>
      <c r="D459" s="39" t="n">
        <f aca="false">MIN(D457-D458,Premissas!$D$31)</f>
        <v>0</v>
      </c>
      <c r="E459" s="39" t="n">
        <f aca="false">MIN(E457-E458,Premissas!$D$31)</f>
        <v>0</v>
      </c>
      <c r="F459" s="39" t="n">
        <f aca="false">MIN(F457-F458,Premissas!$D$31)</f>
        <v>4</v>
      </c>
      <c r="G459" s="39" t="n">
        <f aca="false">MIN(G457-G458,Premissas!$D$31)</f>
        <v>4</v>
      </c>
      <c r="H459" s="39" t="n">
        <f aca="false">MIN(H457-H458,Premissas!$D$31)</f>
        <v>4</v>
      </c>
      <c r="I459" s="39" t="n">
        <f aca="false">MIN(I457-I458,Premissas!$D$31)</f>
        <v>4</v>
      </c>
      <c r="J459" s="39" t="n">
        <f aca="false">MIN(J457-J458,Premissas!$D$31)</f>
        <v>4</v>
      </c>
      <c r="K459" s="39" t="n">
        <f aca="false">MIN(K457-K458,Premissas!$D$31)</f>
        <v>4</v>
      </c>
      <c r="L459" s="39" t="n">
        <f aca="false">MIN(L457-L458,Premissas!$D$31)</f>
        <v>4</v>
      </c>
      <c r="M459" s="39" t="n">
        <f aca="false">MIN(M457-M458,Premissas!$D$31)</f>
        <v>4</v>
      </c>
      <c r="N459" s="39" t="n">
        <f aca="false">MIN(N457-N458,Premissas!$D$31)</f>
        <v>4</v>
      </c>
      <c r="O459" s="39" t="n">
        <f aca="false">MIN(O457-O458,Premissas!$D$31)</f>
        <v>4</v>
      </c>
      <c r="P459" s="3"/>
    </row>
    <row r="460" customFormat="false" ht="15" hidden="false" customHeight="false" outlineLevel="0" collapsed="false">
      <c r="A460" s="3"/>
      <c r="B460" s="4" t="s">
        <v>402</v>
      </c>
      <c r="C460" s="39" t="n">
        <f aca="false">C457-C458-C459</f>
        <v>0</v>
      </c>
      <c r="D460" s="39" t="n">
        <f aca="false">D457-D458-D459</f>
        <v>0</v>
      </c>
      <c r="E460" s="39" t="n">
        <f aca="false">E457-E458-E459</f>
        <v>0</v>
      </c>
      <c r="F460" s="39" t="n">
        <f aca="false">F457-F458-F459</f>
        <v>12.5</v>
      </c>
      <c r="G460" s="39" t="n">
        <f aca="false">G457-G458-G459</f>
        <v>14</v>
      </c>
      <c r="H460" s="39" t="n">
        <f aca="false">H457-H458-H459</f>
        <v>14</v>
      </c>
      <c r="I460" s="39" t="n">
        <f aca="false">I457-I458-I459</f>
        <v>14</v>
      </c>
      <c r="J460" s="39" t="n">
        <f aca="false">J457-J458-J459</f>
        <v>14</v>
      </c>
      <c r="K460" s="39" t="n">
        <f aca="false">K457-K458-K459</f>
        <v>14</v>
      </c>
      <c r="L460" s="39" t="n">
        <f aca="false">L457-L458-L459</f>
        <v>14</v>
      </c>
      <c r="M460" s="39" t="n">
        <f aca="false">M457-M458-M459</f>
        <v>14</v>
      </c>
      <c r="N460" s="39" t="n">
        <f aca="false">N457-N458-N459</f>
        <v>14</v>
      </c>
      <c r="O460" s="39" t="n">
        <f aca="false">O457-O458-O459</f>
        <v>14</v>
      </c>
      <c r="P460" s="3"/>
    </row>
    <row r="461" customFormat="false" ht="15" hidden="false" customHeight="false" outlineLevel="0" collapsed="false">
      <c r="A461" s="3"/>
      <c r="B461" s="4" t="s">
        <v>403</v>
      </c>
      <c r="C461" s="45" t="n">
        <f aca="false">IF(C$456&gt;=1,(1+Premissas!$B$8)^(C$456-1),0)</f>
        <v>0</v>
      </c>
      <c r="D461" s="45" t="n">
        <f aca="false">IF(D$456&gt;=1,(1+Premissas!$B$8)^(D$456-1),0)</f>
        <v>0</v>
      </c>
      <c r="E461" s="45" t="n">
        <f aca="false">IF(E$456&gt;=1,(1+Premissas!$B$8)^(E$456-1),0)</f>
        <v>0</v>
      </c>
      <c r="F461" s="45" t="n">
        <f aca="false">IF(F$456&gt;=1,(1+Premissas!$B$8)^(F$456-1),0)</f>
        <v>1</v>
      </c>
      <c r="G461" s="45" t="n">
        <f aca="false">IF(G$456&gt;=1,(1+Premissas!$B$8)^(G$456-1),0)</f>
        <v>1.025</v>
      </c>
      <c r="H461" s="45" t="n">
        <f aca="false">IF(H$456&gt;=1,(1+Premissas!$B$8)^(H$456-1),0)</f>
        <v>1.050625</v>
      </c>
      <c r="I461" s="45" t="n">
        <f aca="false">IF(I$456&gt;=1,(1+Premissas!$B$8)^(I$456-1),0)</f>
        <v>1.076890625</v>
      </c>
      <c r="J461" s="45" t="n">
        <f aca="false">IF(J$456&gt;=1,(1+Premissas!$B$8)^(J$456-1),0)</f>
        <v>1.103812890625</v>
      </c>
      <c r="K461" s="45" t="n">
        <f aca="false">IF(K$456&gt;=1,(1+Premissas!$B$8)^(K$456-1),0)</f>
        <v>1.13140821289062</v>
      </c>
      <c r="L461" s="45" t="n">
        <f aca="false">IF(L$456&gt;=1,(1+Premissas!$B$8)^(L$456-1),0)</f>
        <v>1.15969341821289</v>
      </c>
      <c r="M461" s="45" t="n">
        <f aca="false">IF(M$456&gt;=1,(1+Premissas!$B$8)^(M$456-1),0)</f>
        <v>1.18868575366821</v>
      </c>
      <c r="N461" s="45" t="n">
        <f aca="false">IF(N$456&gt;=1,(1+Premissas!$B$8)^(N$456-1),0)</f>
        <v>1.21840289750992</v>
      </c>
      <c r="O461" s="45" t="n">
        <f aca="false">IF(O$456&gt;=1,(1+Premissas!$B$8)^(O$456-1),0)</f>
        <v>1.24886296994767</v>
      </c>
      <c r="P461" s="3"/>
    </row>
    <row r="462" customFormat="false" ht="15" hidden="false" customHeight="false" outlineLevel="0" collapsed="false">
      <c r="A462" s="3"/>
      <c r="B462" s="4" t="s">
        <v>404</v>
      </c>
      <c r="C462" s="45" t="n">
        <f aca="false">IF(C$456&gt;=1,(1+Premissas!$B$9)^(C$456-1),0)</f>
        <v>0</v>
      </c>
      <c r="D462" s="45" t="n">
        <f aca="false">IF(D$456&gt;=1,(1+Premissas!$B$9)^(D$456-1),0)</f>
        <v>0</v>
      </c>
      <c r="E462" s="45" t="n">
        <f aca="false">IF(E$456&gt;=1,(1+Premissas!$B$9)^(E$456-1),0)</f>
        <v>0</v>
      </c>
      <c r="F462" s="45" t="n">
        <f aca="false">IF(F$456&gt;=1,(1+Premissas!$B$9)^(F$456-1),0)</f>
        <v>1</v>
      </c>
      <c r="G462" s="45" t="n">
        <f aca="false">IF(G$456&gt;=1,(1+Premissas!$B$9)^(G$456-1),0)</f>
        <v>1.03</v>
      </c>
      <c r="H462" s="45" t="n">
        <f aca="false">IF(H$456&gt;=1,(1+Premissas!$B$9)^(H$456-1),0)</f>
        <v>1.0609</v>
      </c>
      <c r="I462" s="45" t="n">
        <f aca="false">IF(I$456&gt;=1,(1+Premissas!$B$9)^(I$456-1),0)</f>
        <v>1.092727</v>
      </c>
      <c r="J462" s="45" t="n">
        <f aca="false">IF(J$456&gt;=1,(1+Premissas!$B$9)^(J$456-1),0)</f>
        <v>1.12550881</v>
      </c>
      <c r="K462" s="45" t="n">
        <f aca="false">IF(K$456&gt;=1,(1+Premissas!$B$9)^(K$456-1),0)</f>
        <v>1.1592740743</v>
      </c>
      <c r="L462" s="45" t="n">
        <f aca="false">IF(L$456&gt;=1,(1+Premissas!$B$9)^(L$456-1),0)</f>
        <v>1.194052296529</v>
      </c>
      <c r="M462" s="45" t="n">
        <f aca="false">IF(M$456&gt;=1,(1+Premissas!$B$9)^(M$456-1),0)</f>
        <v>1.22987386542487</v>
      </c>
      <c r="N462" s="45" t="n">
        <f aca="false">IF(N$456&gt;=1,(1+Premissas!$B$9)^(N$456-1),0)</f>
        <v>1.26677008138762</v>
      </c>
      <c r="O462" s="45" t="n">
        <f aca="false">IF(O$456&gt;=1,(1+Premissas!$B$9)^(O$456-1),0)</f>
        <v>1.30477318382925</v>
      </c>
      <c r="P462" s="3"/>
    </row>
    <row r="463" customFormat="false" ht="15" hidden="false" customHeight="false" outlineLevel="0" collapsed="false">
      <c r="A463" s="3"/>
      <c r="B463" s="4" t="s">
        <v>405</v>
      </c>
      <c r="C463" s="36" t="n">
        <f aca="false">C458*Premissas!$E$77*Premissas!$D$32*C461</f>
        <v>0</v>
      </c>
      <c r="D463" s="36" t="n">
        <f aca="false">D458*Premissas!$E$77*Premissas!$D$32*D461</f>
        <v>0</v>
      </c>
      <c r="E463" s="36" t="n">
        <f aca="false">E458*Premissas!$E$77*Premissas!$D$32*E461</f>
        <v>0</v>
      </c>
      <c r="F463" s="36" t="n">
        <f aca="false">F458*Premissas!$E$77*Premissas!$D$32*F461</f>
        <v>1980000</v>
      </c>
      <c r="G463" s="36" t="n">
        <f aca="false">G458*Premissas!$E$77*Premissas!$D$32*G461</f>
        <v>2029500</v>
      </c>
      <c r="H463" s="36" t="n">
        <f aca="false">H458*Premissas!$E$77*Premissas!$D$32*H461</f>
        <v>2080237.5</v>
      </c>
      <c r="I463" s="36" t="n">
        <f aca="false">I458*Premissas!$E$77*Premissas!$D$32*I461</f>
        <v>2132243.4375</v>
      </c>
      <c r="J463" s="36" t="n">
        <f aca="false">J458*Premissas!$E$77*Premissas!$D$32*J461</f>
        <v>2185549.5234375</v>
      </c>
      <c r="K463" s="36" t="n">
        <f aca="false">K458*Premissas!$E$77*Premissas!$D$32*K461</f>
        <v>2240188.26152344</v>
      </c>
      <c r="L463" s="36" t="n">
        <f aca="false">L458*Premissas!$E$77*Premissas!$D$32*L461</f>
        <v>2296192.96806152</v>
      </c>
      <c r="M463" s="36" t="n">
        <f aca="false">M458*Premissas!$E$77*Premissas!$D$32*M461</f>
        <v>2353597.79226306</v>
      </c>
      <c r="N463" s="36" t="n">
        <f aca="false">N458*Premissas!$E$77*Premissas!$D$32*N461</f>
        <v>2412437.73706964</v>
      </c>
      <c r="O463" s="36" t="n">
        <f aca="false">O458*Premissas!$E$77*Premissas!$D$32*O461</f>
        <v>2472748.68049638</v>
      </c>
      <c r="P463" s="3"/>
    </row>
    <row r="464" customFormat="false" ht="15" hidden="false" customHeight="false" outlineLevel="0" collapsed="false">
      <c r="A464" s="3"/>
      <c r="B464" s="4" t="s">
        <v>406</v>
      </c>
      <c r="C464" s="36" t="n">
        <f aca="false">C460*Premissas!$E$77*Premissas!$D$32*(1-Premissas!$B$12)*C461</f>
        <v>0</v>
      </c>
      <c r="D464" s="36" t="n">
        <f aca="false">D460*Premissas!$E$77*Premissas!$D$32*(1-Premissas!$B$12)*D461</f>
        <v>0</v>
      </c>
      <c r="E464" s="36" t="n">
        <f aca="false">E460*Premissas!$E$77*Premissas!$D$32*(1-Premissas!$B$12)*E461</f>
        <v>0</v>
      </c>
      <c r="F464" s="36" t="n">
        <f aca="false">F460*Premissas!$E$77*Premissas!$D$32*(1-Premissas!$B$12)*F461</f>
        <v>1753125</v>
      </c>
      <c r="G464" s="36" t="n">
        <f aca="false">G460*Premissas!$E$77*Premissas!$D$32*(1-Premissas!$B$12)*G461</f>
        <v>2012587.5</v>
      </c>
      <c r="H464" s="36" t="n">
        <f aca="false">H460*Premissas!$E$77*Premissas!$D$32*(1-Premissas!$B$12)*H461</f>
        <v>2062902.1875</v>
      </c>
      <c r="I464" s="36" t="n">
        <f aca="false">I460*Premissas!$E$77*Premissas!$D$32*(1-Premissas!$B$12)*I461</f>
        <v>2114474.7421875</v>
      </c>
      <c r="J464" s="36" t="n">
        <f aca="false">J460*Premissas!$E$77*Premissas!$D$32*(1-Premissas!$B$12)*J461</f>
        <v>2167336.61074219</v>
      </c>
      <c r="K464" s="36" t="n">
        <f aca="false">K460*Premissas!$E$77*Premissas!$D$32*(1-Premissas!$B$12)*K461</f>
        <v>2221520.02601074</v>
      </c>
      <c r="L464" s="36" t="n">
        <f aca="false">L460*Premissas!$E$77*Premissas!$D$32*(1-Premissas!$B$12)*L461</f>
        <v>2277058.02666101</v>
      </c>
      <c r="M464" s="36" t="n">
        <f aca="false">M460*Premissas!$E$77*Premissas!$D$32*(1-Premissas!$B$12)*M461</f>
        <v>2333984.47732754</v>
      </c>
      <c r="N464" s="36" t="n">
        <f aca="false">N460*Premissas!$E$77*Premissas!$D$32*(1-Premissas!$B$12)*N461</f>
        <v>2392334.08926072</v>
      </c>
      <c r="O464" s="36" t="n">
        <f aca="false">O460*Premissas!$E$77*Premissas!$D$32*(1-Premissas!$B$12)*O461</f>
        <v>2452142.44149224</v>
      </c>
      <c r="P464" s="3"/>
    </row>
    <row r="465" customFormat="false" ht="15" hidden="false" customHeight="false" outlineLevel="0" collapsed="false">
      <c r="A465" s="3"/>
      <c r="B465" s="4" t="s">
        <v>407</v>
      </c>
      <c r="C465" s="36" t="n">
        <f aca="false">C459*Premissas!$E$44*Premissas!$D$38*Premissas!$E$78*Premissas!$D$32*(1-Premissas!$B$12)*C461</f>
        <v>0</v>
      </c>
      <c r="D465" s="36" t="n">
        <f aca="false">D459*Premissas!$E$44*Premissas!$D$38*Premissas!$E$78*Premissas!$D$32*(1-Premissas!$B$12)*D461</f>
        <v>0</v>
      </c>
      <c r="E465" s="36" t="n">
        <f aca="false">E459*Premissas!$E$44*Premissas!$D$38*Premissas!$E$78*Premissas!$D$32*(1-Premissas!$B$12)*E461</f>
        <v>0</v>
      </c>
      <c r="F465" s="36" t="n">
        <f aca="false">F459*Premissas!$E$44*Premissas!$D$38*Premissas!$E$78*Premissas!$D$32*(1-Premissas!$B$12)*F461</f>
        <v>610368</v>
      </c>
      <c r="G465" s="36" t="n">
        <f aca="false">G459*Premissas!$E$44*Premissas!$D$38*Premissas!$E$78*Premissas!$D$32*(1-Premissas!$B$12)*G461</f>
        <v>625627.2</v>
      </c>
      <c r="H465" s="36" t="n">
        <f aca="false">H459*Premissas!$E$44*Premissas!$D$38*Premissas!$E$78*Premissas!$D$32*(1-Premissas!$B$12)*H461</f>
        <v>641267.88</v>
      </c>
      <c r="I465" s="36" t="n">
        <f aca="false">I459*Premissas!$E$44*Premissas!$D$38*Premissas!$E$78*Premissas!$D$32*(1-Premissas!$B$12)*I461</f>
        <v>657299.577</v>
      </c>
      <c r="J465" s="36" t="n">
        <f aca="false">J459*Premissas!$E$44*Premissas!$D$38*Premissas!$E$78*Premissas!$D$32*(1-Premissas!$B$12)*J461</f>
        <v>673732.066425</v>
      </c>
      <c r="K465" s="36" t="n">
        <f aca="false">K459*Premissas!$E$44*Premissas!$D$38*Premissas!$E$78*Premissas!$D$32*(1-Premissas!$B$12)*K461</f>
        <v>690575.368085625</v>
      </c>
      <c r="L465" s="36" t="n">
        <f aca="false">L459*Premissas!$E$44*Premissas!$D$38*Premissas!$E$78*Premissas!$D$32*(1-Premissas!$B$12)*L461</f>
        <v>707839.752287765</v>
      </c>
      <c r="M465" s="36" t="n">
        <f aca="false">M459*Premissas!$E$44*Premissas!$D$38*Premissas!$E$78*Premissas!$D$32*(1-Premissas!$B$12)*M461</f>
        <v>725535.746094959</v>
      </c>
      <c r="N465" s="36" t="n">
        <f aca="false">N459*Premissas!$E$44*Premissas!$D$38*Premissas!$E$78*Premissas!$D$32*(1-Premissas!$B$12)*N461</f>
        <v>743674.139747333</v>
      </c>
      <c r="O465" s="36" t="n">
        <f aca="false">O459*Premissas!$E$44*Premissas!$D$38*Premissas!$E$78*Premissas!$D$32*(1-Premissas!$B$12)*O461</f>
        <v>762265.993241017</v>
      </c>
      <c r="P465" s="3"/>
    </row>
    <row r="466" customFormat="false" ht="15" hidden="false" customHeight="false" outlineLevel="0" collapsed="false">
      <c r="A466" s="3"/>
      <c r="B466" s="4" t="s">
        <v>408</v>
      </c>
      <c r="C466" s="36" t="n">
        <f aca="false">C457*Premissas!$E$44*Premissas!$B$14*Premissas!$B$13*C461</f>
        <v>0</v>
      </c>
      <c r="D466" s="36" t="n">
        <f aca="false">D457*Premissas!$E$44*Premissas!$B$14*Premissas!$B$13*D461</f>
        <v>0</v>
      </c>
      <c r="E466" s="36" t="n">
        <f aca="false">E457*Premissas!$E$44*Premissas!$B$14*Premissas!$B$13*E461</f>
        <v>0</v>
      </c>
      <c r="F466" s="36" t="n">
        <f aca="false">F457*Premissas!$E$44*Premissas!$B$14*Premissas!$B$13*F461</f>
        <v>184680</v>
      </c>
      <c r="G466" s="36" t="n">
        <f aca="false">G457*Premissas!$E$44*Premissas!$B$14*Premissas!$B$13*G461</f>
        <v>199260</v>
      </c>
      <c r="H466" s="36" t="n">
        <f aca="false">H457*Premissas!$E$44*Premissas!$B$14*Premissas!$B$13*H461</f>
        <v>204241.5</v>
      </c>
      <c r="I466" s="36" t="n">
        <f aca="false">I457*Premissas!$E$44*Premissas!$B$14*Premissas!$B$13*I461</f>
        <v>209347.5375</v>
      </c>
      <c r="J466" s="36" t="n">
        <f aca="false">J457*Premissas!$E$44*Premissas!$B$14*Premissas!$B$13*J461</f>
        <v>214581.2259375</v>
      </c>
      <c r="K466" s="36" t="n">
        <f aca="false">K457*Premissas!$E$44*Premissas!$B$14*Premissas!$B$13*K461</f>
        <v>219945.756585937</v>
      </c>
      <c r="L466" s="36" t="n">
        <f aca="false">L457*Premissas!$E$44*Premissas!$B$14*Premissas!$B$13*L461</f>
        <v>225444.400500586</v>
      </c>
      <c r="M466" s="36" t="n">
        <f aca="false">M457*Premissas!$E$44*Premissas!$B$14*Premissas!$B$13*M461</f>
        <v>231080.5105131</v>
      </c>
      <c r="N466" s="36" t="n">
        <f aca="false">N457*Premissas!$E$44*Premissas!$B$14*Premissas!$B$13*N461</f>
        <v>236857.523275928</v>
      </c>
      <c r="O466" s="36" t="n">
        <f aca="false">O457*Premissas!$E$44*Premissas!$B$14*Premissas!$B$13*O461</f>
        <v>242778.961357826</v>
      </c>
      <c r="P466" s="3"/>
    </row>
    <row r="467" customFormat="false" ht="15" hidden="false" customHeight="false" outlineLevel="0" collapsed="false">
      <c r="A467" s="3"/>
      <c r="B467" s="14" t="s">
        <v>409</v>
      </c>
      <c r="C467" s="33" t="n">
        <f aca="false">SUM(C463:C466)</f>
        <v>0</v>
      </c>
      <c r="D467" s="33" t="n">
        <f aca="false">SUM(D463:D466)</f>
        <v>0</v>
      </c>
      <c r="E467" s="33" t="n">
        <f aca="false">SUM(E463:E466)</f>
        <v>0</v>
      </c>
      <c r="F467" s="33" t="n">
        <f aca="false">SUM(F463:F466)</f>
        <v>4528173</v>
      </c>
      <c r="G467" s="33" t="n">
        <f aca="false">SUM(G463:G466)</f>
        <v>4866974.7</v>
      </c>
      <c r="H467" s="33" t="n">
        <f aca="false">SUM(H463:H466)</f>
        <v>4988649.0675</v>
      </c>
      <c r="I467" s="33" t="n">
        <f aca="false">SUM(I463:I466)</f>
        <v>5113365.2941875</v>
      </c>
      <c r="J467" s="33" t="n">
        <f aca="false">SUM(J463:J466)</f>
        <v>5241199.42654219</v>
      </c>
      <c r="K467" s="33" t="n">
        <f aca="false">SUM(K463:K466)</f>
        <v>5372229.41220574</v>
      </c>
      <c r="L467" s="33" t="n">
        <f aca="false">SUM(L463:L466)</f>
        <v>5506535.14751088</v>
      </c>
      <c r="M467" s="33" t="n">
        <f aca="false">SUM(M463:M466)</f>
        <v>5644198.52619866</v>
      </c>
      <c r="N467" s="33" t="n">
        <f aca="false">SUM(N463:N466)</f>
        <v>5785303.48935362</v>
      </c>
      <c r="O467" s="33" t="n">
        <f aca="false">SUM(O463:O466)</f>
        <v>5929936.07658746</v>
      </c>
      <c r="P467" s="3"/>
    </row>
    <row r="468" customFormat="false" ht="15" hidden="false" customHeight="false" outlineLevel="0" collapsed="false">
      <c r="A468" s="3"/>
      <c r="B468" s="4" t="s">
        <v>410</v>
      </c>
      <c r="C468" s="36" t="n">
        <f aca="false">-C457*(Premissas!$E$70*Premissas!$D$34/Premissas!$B$6+Premissas!$E$75)*Premissas!$D$33*C462</f>
        <v>-0</v>
      </c>
      <c r="D468" s="36" t="n">
        <f aca="false">-D457*(Premissas!$E$70*Premissas!$D$34/Premissas!$B$6+Premissas!$E$75)*Premissas!$D$33*D462</f>
        <v>-0</v>
      </c>
      <c r="E468" s="36" t="n">
        <f aca="false">-E457*(Premissas!$E$70*Premissas!$D$34/Premissas!$B$6+Premissas!$E$75)*Premissas!$D$33*E462</f>
        <v>-0</v>
      </c>
      <c r="F468" s="36" t="n">
        <f aca="false">-F457*(Premissas!$E$70*Premissas!$D$34/Premissas!$B$6+Premissas!$E$75)*Premissas!$D$33*F462</f>
        <v>-931789.656521739</v>
      </c>
      <c r="G468" s="36" t="n">
        <f aca="false">-G457*(Premissas!$E$70*Premissas!$D$34/Premissas!$B$6+Premissas!$E$75)*Premissas!$D$33*G462</f>
        <v>-1010256.15391304</v>
      </c>
      <c r="H468" s="36" t="n">
        <f aca="false">-H457*(Premissas!$E$70*Premissas!$D$34/Premissas!$B$6+Premissas!$E$75)*Premissas!$D$33*H462</f>
        <v>-1040563.83853044</v>
      </c>
      <c r="I468" s="36" t="n">
        <f aca="false">-I457*(Premissas!$E$70*Premissas!$D$34/Premissas!$B$6+Premissas!$E$75)*Premissas!$D$33*I462</f>
        <v>-1071780.75368635</v>
      </c>
      <c r="J468" s="36" t="n">
        <f aca="false">-J457*(Premissas!$E$70*Premissas!$D$34/Premissas!$B$6+Premissas!$E$75)*Premissas!$D$33*J462</f>
        <v>-1103934.17629694</v>
      </c>
      <c r="K468" s="36" t="n">
        <f aca="false">-K457*(Premissas!$E$70*Premissas!$D$34/Premissas!$B$6+Premissas!$E$75)*Premissas!$D$33*K462</f>
        <v>-1137052.20158585</v>
      </c>
      <c r="L468" s="36" t="n">
        <f aca="false">-L457*(Premissas!$E$70*Premissas!$D$34/Premissas!$B$6+Premissas!$E$75)*Premissas!$D$33*L462</f>
        <v>-1171163.76763342</v>
      </c>
      <c r="M468" s="36" t="n">
        <f aca="false">-M457*(Premissas!$E$70*Premissas!$D$34/Premissas!$B$6+Premissas!$E$75)*Premissas!$D$33*M462</f>
        <v>-1206298.68066243</v>
      </c>
      <c r="N468" s="36" t="n">
        <f aca="false">-N457*(Premissas!$E$70*Premissas!$D$34/Premissas!$B$6+Premissas!$E$75)*Premissas!$D$33*N462</f>
        <v>-1242487.6410823</v>
      </c>
      <c r="O468" s="36" t="n">
        <f aca="false">-O457*(Premissas!$E$70*Premissas!$D$34/Premissas!$B$6+Premissas!$E$75)*Premissas!$D$33*O462</f>
        <v>-1279762.27031477</v>
      </c>
      <c r="P468" s="3"/>
    </row>
    <row r="469" customFormat="false" ht="15" hidden="false" customHeight="false" outlineLevel="0" collapsed="false">
      <c r="A469" s="3"/>
      <c r="B469" s="4" t="s">
        <v>411</v>
      </c>
      <c r="C469" s="36" t="n">
        <f aca="false">-IF(C$456&gt;=1,Premissas!$E$68*Premissas!$D$33*C462,0)</f>
        <v>-0</v>
      </c>
      <c r="D469" s="36" t="n">
        <f aca="false">-IF(D$456&gt;=1,Premissas!$E$68*Premissas!$D$33*D462,0)</f>
        <v>-0</v>
      </c>
      <c r="E469" s="36" t="n">
        <f aca="false">-IF(E$456&gt;=1,Premissas!$E$68*Premissas!$D$33*E462,0)</f>
        <v>-0</v>
      </c>
      <c r="F469" s="36" t="n">
        <f aca="false">-IF(F$456&gt;=1,Premissas!$E$68*Premissas!$D$33*F462,0)</f>
        <v>-2378102.7</v>
      </c>
      <c r="G469" s="36" t="n">
        <f aca="false">-IF(G$456&gt;=1,Premissas!$E$68*Premissas!$D$33*G462,0)</f>
        <v>-2449445.781</v>
      </c>
      <c r="H469" s="36" t="n">
        <f aca="false">-IF(H$456&gt;=1,Premissas!$E$68*Premissas!$D$33*H462,0)</f>
        <v>-2522929.15443</v>
      </c>
      <c r="I469" s="36" t="n">
        <f aca="false">-IF(I$456&gt;=1,Premissas!$E$68*Premissas!$D$33*I462,0)</f>
        <v>-2598617.0290629</v>
      </c>
      <c r="J469" s="36" t="n">
        <f aca="false">-IF(J$456&gt;=1,Premissas!$E$68*Premissas!$D$33*J462,0)</f>
        <v>-2676575.53993479</v>
      </c>
      <c r="K469" s="36" t="n">
        <f aca="false">-IF(K$456&gt;=1,Premissas!$E$68*Premissas!$D$33*K462,0)</f>
        <v>-2756872.80613283</v>
      </c>
      <c r="L469" s="36" t="n">
        <f aca="false">-IF(L$456&gt;=1,Premissas!$E$68*Premissas!$D$33*L462,0)</f>
        <v>-2839578.99031682</v>
      </c>
      <c r="M469" s="36" t="n">
        <f aca="false">-IF(M$456&gt;=1,Premissas!$E$68*Premissas!$D$33*M462,0)</f>
        <v>-2924766.36002632</v>
      </c>
      <c r="N469" s="36" t="n">
        <f aca="false">-IF(N$456&gt;=1,Premissas!$E$68*Premissas!$D$33*N462,0)</f>
        <v>-3012509.35082711</v>
      </c>
      <c r="O469" s="36" t="n">
        <f aca="false">-IF(O$456&gt;=1,Premissas!$E$68*Premissas!$D$33*O462,0)</f>
        <v>-3102884.63135192</v>
      </c>
      <c r="P469" s="3"/>
    </row>
    <row r="470" customFormat="false" ht="15" hidden="false" customHeight="false" outlineLevel="0" collapsed="false">
      <c r="A470" s="3"/>
      <c r="B470" s="14" t="s">
        <v>412</v>
      </c>
      <c r="C470" s="33" t="n">
        <f aca="false">C467+C468+C469</f>
        <v>0</v>
      </c>
      <c r="D470" s="33" t="n">
        <f aca="false">D467+D468+D469</f>
        <v>0</v>
      </c>
      <c r="E470" s="33" t="n">
        <f aca="false">E467+E468+E469</f>
        <v>0</v>
      </c>
      <c r="F470" s="33" t="n">
        <f aca="false">F467+F468+F469</f>
        <v>1218280.64347826</v>
      </c>
      <c r="G470" s="33" t="n">
        <f aca="false">G467+G468+G469</f>
        <v>1407272.76508696</v>
      </c>
      <c r="H470" s="33" t="n">
        <f aca="false">H467+H468+H469</f>
        <v>1425156.07453957</v>
      </c>
      <c r="I470" s="33" t="n">
        <f aca="false">I467+I468+I469</f>
        <v>1442967.51143825</v>
      </c>
      <c r="J470" s="33" t="n">
        <f aca="false">J467+J468+J469</f>
        <v>1460689.71031046</v>
      </c>
      <c r="K470" s="33" t="n">
        <f aca="false">K467+K468+K469</f>
        <v>1478304.40448706</v>
      </c>
      <c r="L470" s="33" t="n">
        <f aca="false">L467+L468+L469</f>
        <v>1495792.38956065</v>
      </c>
      <c r="M470" s="33" t="n">
        <f aca="false">M467+M468+M469</f>
        <v>1513133.48550991</v>
      </c>
      <c r="N470" s="33" t="n">
        <f aca="false">N467+N468+N469</f>
        <v>1530306.49744421</v>
      </c>
      <c r="O470" s="33" t="n">
        <f aca="false">O467+O468+O469</f>
        <v>1547289.17492077</v>
      </c>
      <c r="P470" s="3"/>
    </row>
    <row r="471" customFormat="false" ht="15" hidden="false" customHeight="false" outlineLevel="0" collapsed="false">
      <c r="A471" s="3"/>
      <c r="B471" s="4" t="s">
        <v>413</v>
      </c>
      <c r="C471" s="42" t="n">
        <f aca="false">IF(C467=0,0,C470/C467)</f>
        <v>0</v>
      </c>
      <c r="D471" s="42" t="n">
        <f aca="false">IF(D467=0,0,D470/D467)</f>
        <v>0</v>
      </c>
      <c r="E471" s="42" t="n">
        <f aca="false">IF(E467=0,0,E470/E467)</f>
        <v>0</v>
      </c>
      <c r="F471" s="42" t="n">
        <f aca="false">IF(F467=0,0,F470/F467)</f>
        <v>0.269044633117653</v>
      </c>
      <c r="G471" s="42" t="n">
        <f aca="false">IF(G467=0,0,G470/G467)</f>
        <v>0.289147335219753</v>
      </c>
      <c r="H471" s="42" t="n">
        <f aca="false">IF(H467=0,0,H470/H467)</f>
        <v>0.285679761245215</v>
      </c>
      <c r="I471" s="42" t="n">
        <f aca="false">IF(I467=0,0,I470/I467)</f>
        <v>0.282195272275679</v>
      </c>
      <c r="J471" s="42" t="n">
        <f aca="false">IF(J467=0,0,J470/J467)</f>
        <v>0.278693785798975</v>
      </c>
      <c r="K471" s="42" t="n">
        <f aca="false">IF(K467=0,0,K470/K467)</f>
        <v>0.275175218900434</v>
      </c>
      <c r="L471" s="42" t="n">
        <f aca="false">IF(L467=0,0,L470/L467)</f>
        <v>0.271639488260924</v>
      </c>
      <c r="M471" s="42" t="n">
        <f aca="false">IF(M467=0,0,M470/M467)</f>
        <v>0.268086510154879</v>
      </c>
      <c r="N471" s="42" t="n">
        <f aca="false">IF(N467=0,0,N470/N467)</f>
        <v>0.264516200448317</v>
      </c>
      <c r="O471" s="42" t="n">
        <f aca="false">IF(O467=0,0,O470/O467)</f>
        <v>0.260928474596846</v>
      </c>
      <c r="P471" s="3"/>
    </row>
    <row r="472" customFormat="false" ht="15" hidden="false" customHeight="false" outlineLevel="0" collapsed="false">
      <c r="A472" s="3"/>
      <c r="B472" s="4" t="s">
        <v>414</v>
      </c>
      <c r="C472" s="36" t="n">
        <f aca="false">-IF(C$456&gt;=1,Premissas!$E$52*(1-Premissas!$D$36)/10,0)</f>
        <v>-0</v>
      </c>
      <c r="D472" s="36" t="n">
        <f aca="false">-IF(D$456&gt;=1,Premissas!$E$52*(1-Premissas!$D$36)/10,0)</f>
        <v>-0</v>
      </c>
      <c r="E472" s="36" t="n">
        <f aca="false">-IF(E$456&gt;=1,Premissas!$E$52*(1-Premissas!$D$36)/10,0)</f>
        <v>-0</v>
      </c>
      <c r="F472" s="36" t="n">
        <f aca="false">-IF(F$456&gt;=1,Premissas!$E$52*(1-Premissas!$D$36)/10,0)</f>
        <v>-424000</v>
      </c>
      <c r="G472" s="36" t="n">
        <f aca="false">-IF(G$456&gt;=1,Premissas!$E$52*(1-Premissas!$D$36)/10,0)</f>
        <v>-424000</v>
      </c>
      <c r="H472" s="36" t="n">
        <f aca="false">-IF(H$456&gt;=1,Premissas!$E$52*(1-Premissas!$D$36)/10,0)</f>
        <v>-424000</v>
      </c>
      <c r="I472" s="36" t="n">
        <f aca="false">-IF(I$456&gt;=1,Premissas!$E$52*(1-Premissas!$D$36)/10,0)</f>
        <v>-424000</v>
      </c>
      <c r="J472" s="36" t="n">
        <f aca="false">-IF(J$456&gt;=1,Premissas!$E$52*(1-Premissas!$D$36)/10,0)</f>
        <v>-424000</v>
      </c>
      <c r="K472" s="36" t="n">
        <f aca="false">-IF(K$456&gt;=1,Premissas!$E$52*(1-Premissas!$D$36)/10,0)</f>
        <v>-424000</v>
      </c>
      <c r="L472" s="36" t="n">
        <f aca="false">-IF(L$456&gt;=1,Premissas!$E$52*(1-Premissas!$D$36)/10,0)</f>
        <v>-424000</v>
      </c>
      <c r="M472" s="36" t="n">
        <f aca="false">-IF(M$456&gt;=1,Premissas!$E$52*(1-Premissas!$D$36)/10,0)</f>
        <v>-424000</v>
      </c>
      <c r="N472" s="36" t="n">
        <f aca="false">-IF(N$456&gt;=1,Premissas!$E$52*(1-Premissas!$D$36)/10,0)</f>
        <v>-424000</v>
      </c>
      <c r="O472" s="36" t="n">
        <f aca="false">-IF(O$456&gt;=1,Premissas!$E$52*(1-Premissas!$D$36)/10,0)</f>
        <v>-424000</v>
      </c>
      <c r="P472" s="3"/>
    </row>
    <row r="473" customFormat="false" ht="15" hidden="false" customHeight="false" outlineLevel="0" collapsed="false">
      <c r="A473" s="3"/>
      <c r="B473" s="14" t="s">
        <v>415</v>
      </c>
      <c r="C473" s="40" t="n">
        <f aca="false">C470+C472</f>
        <v>0</v>
      </c>
      <c r="D473" s="40" t="n">
        <f aca="false">D470+D472</f>
        <v>0</v>
      </c>
      <c r="E473" s="40" t="n">
        <f aca="false">E470+E472</f>
        <v>0</v>
      </c>
      <c r="F473" s="40" t="n">
        <f aca="false">F470+F472</f>
        <v>794280.643478261</v>
      </c>
      <c r="G473" s="40" t="n">
        <f aca="false">G470+G472</f>
        <v>983272.765086956</v>
      </c>
      <c r="H473" s="40" t="n">
        <f aca="false">H470+H472</f>
        <v>1001156.07453957</v>
      </c>
      <c r="I473" s="40" t="n">
        <f aca="false">I470+I472</f>
        <v>1018967.51143825</v>
      </c>
      <c r="J473" s="40" t="n">
        <f aca="false">J470+J472</f>
        <v>1036689.71031046</v>
      </c>
      <c r="K473" s="40" t="n">
        <f aca="false">K470+K472</f>
        <v>1054304.40448706</v>
      </c>
      <c r="L473" s="40" t="n">
        <f aca="false">L470+L472</f>
        <v>1071792.38956065</v>
      </c>
      <c r="M473" s="40" t="n">
        <f aca="false">M470+M472</f>
        <v>1089133.48550991</v>
      </c>
      <c r="N473" s="40" t="n">
        <f aca="false">N470+N472</f>
        <v>1106306.49744421</v>
      </c>
      <c r="O473" s="40" t="n">
        <f aca="false">O470+O472</f>
        <v>1123289.17492077</v>
      </c>
      <c r="P473" s="3"/>
    </row>
    <row r="474" customFormat="false" ht="15" hidden="false" customHeight="false" outlineLevel="0" collapsed="false">
      <c r="A474" s="3"/>
      <c r="B474" s="4" t="s">
        <v>416</v>
      </c>
      <c r="C474" s="36" t="n">
        <f aca="false">-MAX(0,C473)*Premissas!$B$11</f>
        <v>-0</v>
      </c>
      <c r="D474" s="36" t="n">
        <f aca="false">-MAX(0,D473)*Premissas!$B$11</f>
        <v>-0</v>
      </c>
      <c r="E474" s="36" t="n">
        <f aca="false">-MAX(0,E473)*Premissas!$B$11</f>
        <v>-0</v>
      </c>
      <c r="F474" s="36" t="n">
        <f aca="false">-MAX(0,F473)*Premissas!$B$11</f>
        <v>-270055.418782609</v>
      </c>
      <c r="G474" s="36" t="n">
        <f aca="false">-MAX(0,G473)*Premissas!$B$11</f>
        <v>-334312.740129565</v>
      </c>
      <c r="H474" s="36" t="n">
        <f aca="false">-MAX(0,H473)*Premissas!$B$11</f>
        <v>-340393.065343452</v>
      </c>
      <c r="I474" s="36" t="n">
        <f aca="false">-MAX(0,I473)*Premissas!$B$11</f>
        <v>-346448.953889005</v>
      </c>
      <c r="J474" s="36" t="n">
        <f aca="false">-MAX(0,J473)*Premissas!$B$11</f>
        <v>-352474.501505556</v>
      </c>
      <c r="K474" s="36" t="n">
        <f aca="false">-MAX(0,K473)*Premissas!$B$11</f>
        <v>-358463.497525601</v>
      </c>
      <c r="L474" s="36" t="n">
        <f aca="false">-MAX(0,L473)*Premissas!$B$11</f>
        <v>-364409.412450619</v>
      </c>
      <c r="M474" s="36" t="n">
        <f aca="false">-MAX(0,M473)*Premissas!$B$11</f>
        <v>-370305.38507337</v>
      </c>
      <c r="N474" s="36" t="n">
        <f aca="false">-MAX(0,N473)*Premissas!$B$11</f>
        <v>-376144.209131032</v>
      </c>
      <c r="O474" s="36" t="n">
        <f aca="false">-MAX(0,O473)*Premissas!$B$11</f>
        <v>-381918.319473062</v>
      </c>
      <c r="P474" s="3"/>
    </row>
    <row r="475" customFormat="false" ht="15" hidden="false" customHeight="false" outlineLevel="0" collapsed="false">
      <c r="A475" s="3"/>
      <c r="B475" s="4" t="s">
        <v>417</v>
      </c>
      <c r="C475" s="36" t="n">
        <f aca="false">-(IF(C$456=3,Premissas!$E$80,0)+IF(C$456=5,Premissas!$E$81,0)+IF(C$456=8,Premissas!$E$82,0)+IF(C$456=10,Premissas!$E$83,0))*C462</f>
        <v>-0</v>
      </c>
      <c r="D475" s="36" t="n">
        <f aca="false">-(IF(D$456=3,Premissas!$E$80,0)+IF(D$456=5,Premissas!$E$81,0)+IF(D$456=8,Premissas!$E$82,0)+IF(D$456=10,Premissas!$E$83,0))*D462</f>
        <v>-0</v>
      </c>
      <c r="E475" s="36" t="n">
        <f aca="false">-(IF(E$456=3,Premissas!$E$80,0)+IF(E$456=5,Premissas!$E$81,0)+IF(E$456=8,Premissas!$E$82,0)+IF(E$456=10,Premissas!$E$83,0))*E462</f>
        <v>-0</v>
      </c>
      <c r="F475" s="36" t="n">
        <f aca="false">-(IF(F$456=3,Premissas!$E$80,0)+IF(F$456=5,Premissas!$E$81,0)+IF(F$456=8,Premissas!$E$82,0)+IF(F$456=10,Premissas!$E$83,0))*F462</f>
        <v>-0</v>
      </c>
      <c r="G475" s="36" t="n">
        <f aca="false">-(IF(G$456=3,Premissas!$E$80,0)+IF(G$456=5,Premissas!$E$81,0)+IF(G$456=8,Premissas!$E$82,0)+IF(G$456=10,Premissas!$E$83,0))*G462</f>
        <v>-0</v>
      </c>
      <c r="H475" s="36" t="n">
        <f aca="false">-(IF(H$456=3,Premissas!$E$80,0)+IF(H$456=5,Premissas!$E$81,0)+IF(H$456=8,Premissas!$E$82,0)+IF(H$456=10,Premissas!$E$83,0))*H462</f>
        <v>-371315</v>
      </c>
      <c r="I475" s="36" t="n">
        <f aca="false">-(IF(I$456=3,Premissas!$E$80,0)+IF(I$456=5,Premissas!$E$81,0)+IF(I$456=8,Premissas!$E$82,0)+IF(I$456=10,Premissas!$E$83,0))*I462</f>
        <v>-0</v>
      </c>
      <c r="J475" s="36" t="n">
        <f aca="false">-(IF(J$456=3,Premissas!$E$80,0)+IF(J$456=5,Premissas!$E$81,0)+IF(J$456=8,Premissas!$E$82,0)+IF(J$456=10,Premissas!$E$83,0))*J462</f>
        <v>-844131.6075</v>
      </c>
      <c r="K475" s="36" t="n">
        <f aca="false">-(IF(K$456=3,Premissas!$E$80,0)+IF(K$456=5,Premissas!$E$81,0)+IF(K$456=8,Premissas!$E$82,0)+IF(K$456=10,Premissas!$E$83,0))*K462</f>
        <v>-0</v>
      </c>
      <c r="L475" s="36" t="n">
        <f aca="false">-(IF(L$456=3,Premissas!$E$80,0)+IF(L$456=5,Premissas!$E$81,0)+IF(L$456=8,Premissas!$E$82,0)+IF(L$456=10,Premissas!$E$83,0))*L462</f>
        <v>-0</v>
      </c>
      <c r="M475" s="36" t="n">
        <f aca="false">-(IF(M$456=3,Premissas!$E$80,0)+IF(M$456=5,Premissas!$E$81,0)+IF(M$456=8,Premissas!$E$82,0)+IF(M$456=10,Premissas!$E$83,0))*M462</f>
        <v>-491949.546169948</v>
      </c>
      <c r="N475" s="36" t="n">
        <f aca="false">-(IF(N$456=3,Premissas!$E$80,0)+IF(N$456=5,Premissas!$E$81,0)+IF(N$456=8,Premissas!$E$82,0)+IF(N$456=10,Premissas!$E$83,0))*N462</f>
        <v>-0</v>
      </c>
      <c r="O475" s="36" t="n">
        <f aca="false">-(IF(O$456=3,Premissas!$E$80,0)+IF(O$456=5,Premissas!$E$81,0)+IF(O$456=8,Premissas!$E$82,0)+IF(O$456=10,Premissas!$E$83,0))*O462</f>
        <v>-1109057.20625486</v>
      </c>
      <c r="P475" s="3"/>
    </row>
    <row r="476" customFormat="false" ht="15" hidden="false" customHeight="false" outlineLevel="0" collapsed="false">
      <c r="A476" s="3"/>
      <c r="B476" s="4" t="s">
        <v>418</v>
      </c>
      <c r="C476" s="36" t="n">
        <f aca="false">-IF(C$456&gt;=1,Premissas!$E$52*(Premissas!$E$84+IF(C$456=6,Premissas!$E$85,0))*C462,0)</f>
        <v>-0</v>
      </c>
      <c r="D476" s="36" t="n">
        <f aca="false">-IF(D$456&gt;=1,Premissas!$E$52*(Premissas!$E$84+IF(D$456=6,Premissas!$E$85,0))*D462,0)</f>
        <v>-0</v>
      </c>
      <c r="E476" s="36" t="n">
        <f aca="false">-IF(E$456&gt;=1,Premissas!$E$52*(Premissas!$E$84+IF(E$456=6,Premissas!$E$85,0))*E462,0)</f>
        <v>-0</v>
      </c>
      <c r="F476" s="36" t="n">
        <f aca="false">-IF(F$456&gt;=1,Premissas!$E$52*(Premissas!$E$84+IF(F$456=6,Premissas!$E$85,0))*F462,0)</f>
        <v>-106000</v>
      </c>
      <c r="G476" s="36" t="n">
        <f aca="false">-IF(G$456&gt;=1,Premissas!$E$52*(Premissas!$E$84+IF(G$456=6,Premissas!$E$85,0))*G462,0)</f>
        <v>-109180</v>
      </c>
      <c r="H476" s="36" t="n">
        <f aca="false">-IF(H$456&gt;=1,Premissas!$E$52*(Premissas!$E$84+IF(H$456=6,Premissas!$E$85,0))*H462,0)</f>
        <v>-112455.4</v>
      </c>
      <c r="I476" s="36" t="n">
        <f aca="false">-IF(I$456&gt;=1,Premissas!$E$52*(Premissas!$E$84+IF(I$456=6,Premissas!$E$85,0))*I462,0)</f>
        <v>-115829.062</v>
      </c>
      <c r="J476" s="36" t="n">
        <f aca="false">-IF(J$456&gt;=1,Premissas!$E$52*(Premissas!$E$84+IF(J$456=6,Premissas!$E$85,0))*J462,0)</f>
        <v>-119303.93386</v>
      </c>
      <c r="K476" s="36" t="n">
        <f aca="false">-IF(K$456&gt;=1,Premissas!$E$52*(Premissas!$E$84+IF(K$456=6,Premissas!$E$85,0))*K462,0)</f>
        <v>-614415.259379</v>
      </c>
      <c r="L476" s="36" t="n">
        <f aca="false">-IF(L$456&gt;=1,Premissas!$E$52*(Premissas!$E$84+IF(L$456=6,Premissas!$E$85,0))*L462,0)</f>
        <v>-126569.543432074</v>
      </c>
      <c r="M476" s="36" t="n">
        <f aca="false">-IF(M$456&gt;=1,Premissas!$E$52*(Premissas!$E$84+IF(M$456=6,Premissas!$E$85,0))*M462,0)</f>
        <v>-130366.629735036</v>
      </c>
      <c r="N476" s="36" t="n">
        <f aca="false">-IF(N$456&gt;=1,Premissas!$E$52*(Premissas!$E$84+IF(N$456=6,Premissas!$E$85,0))*N462,0)</f>
        <v>-134277.628627087</v>
      </c>
      <c r="O476" s="36" t="n">
        <f aca="false">-IF(O$456&gt;=1,Premissas!$E$52*(Premissas!$E$84+IF(O$456=6,Premissas!$E$85,0))*O462,0)</f>
        <v>-138305.9574859</v>
      </c>
      <c r="P476" s="3"/>
    </row>
    <row r="477" customFormat="false" ht="15" hidden="false" customHeight="false" outlineLevel="0" collapsed="false">
      <c r="A477" s="3"/>
      <c r="B477" s="4" t="s">
        <v>419</v>
      </c>
      <c r="C477" s="36" t="n">
        <f aca="false">-Premissas!$E$52*Premissas!$E$53</f>
        <v>-0</v>
      </c>
      <c r="D477" s="36" t="n">
        <f aca="false">-Premissas!$E$52*Premissas!$E$54</f>
        <v>-0</v>
      </c>
      <c r="E477" s="36" t="n">
        <f aca="false">-Premissas!$E$52*Premissas!$E$55</f>
        <v>-10600000</v>
      </c>
      <c r="F477" s="36" t="n">
        <v>0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6" t="n">
        <v>0</v>
      </c>
      <c r="O477" s="36" t="n">
        <v>0</v>
      </c>
      <c r="P477" s="3"/>
    </row>
    <row r="478" customFormat="false" ht="15" hidden="false" customHeight="false" outlineLevel="0" collapsed="false">
      <c r="A478" s="3"/>
      <c r="B478" s="4" t="s">
        <v>420</v>
      </c>
      <c r="C478" s="36" t="n">
        <f aca="false">IF(C$456=10,Premissas!$E$52*Premissas!$D$36,0)</f>
        <v>0</v>
      </c>
      <c r="D478" s="36" t="n">
        <f aca="false">IF(D$456=10,Premissas!$E$52*Premissas!$D$36,0)</f>
        <v>0</v>
      </c>
      <c r="E478" s="36" t="n">
        <f aca="false">IF(E$456=10,Premissas!$E$52*Premissas!$D$36,0)</f>
        <v>0</v>
      </c>
      <c r="F478" s="36" t="n">
        <f aca="false">IF(F$456=10,Premissas!$E$52*Premissas!$D$36,0)</f>
        <v>0</v>
      </c>
      <c r="G478" s="36" t="n">
        <f aca="false">IF(G$456=10,Premissas!$E$52*Premissas!$D$36,0)</f>
        <v>0</v>
      </c>
      <c r="H478" s="36" t="n">
        <f aca="false">IF(H$456=10,Premissas!$E$52*Premissas!$D$36,0)</f>
        <v>0</v>
      </c>
      <c r="I478" s="36" t="n">
        <f aca="false">IF(I$456=10,Premissas!$E$52*Premissas!$D$36,0)</f>
        <v>0</v>
      </c>
      <c r="J478" s="36" t="n">
        <f aca="false">IF(J$456=10,Premissas!$E$52*Premissas!$D$36,0)</f>
        <v>0</v>
      </c>
      <c r="K478" s="36" t="n">
        <f aca="false">IF(K$456=10,Premissas!$E$52*Premissas!$D$36,0)</f>
        <v>0</v>
      </c>
      <c r="L478" s="36" t="n">
        <f aca="false">IF(L$456=10,Premissas!$E$52*Premissas!$D$36,0)</f>
        <v>0</v>
      </c>
      <c r="M478" s="36" t="n">
        <f aca="false">IF(M$456=10,Premissas!$E$52*Premissas!$D$36,0)</f>
        <v>0</v>
      </c>
      <c r="N478" s="36" t="n">
        <f aca="false">IF(N$456=10,Premissas!$E$52*Premissas!$D$36,0)</f>
        <v>0</v>
      </c>
      <c r="O478" s="36" t="n">
        <f aca="false">IF(O$456=10,Premissas!$E$52*Premissas!$D$36,0)</f>
        <v>6360000</v>
      </c>
      <c r="P478" s="3"/>
    </row>
    <row r="479" customFormat="false" ht="15" hidden="false" customHeight="false" outlineLevel="0" collapsed="false">
      <c r="A479" s="3"/>
      <c r="B479" s="14" t="s">
        <v>421</v>
      </c>
      <c r="C479" s="33" t="n">
        <f aca="false">C470+C474+C475+C476+C477+C478</f>
        <v>0</v>
      </c>
      <c r="D479" s="33" t="n">
        <f aca="false">D470+D474+D475+D476+D477+D478</f>
        <v>0</v>
      </c>
      <c r="E479" s="33" t="n">
        <f aca="false">E470+E474+E475+E476+E477+E478</f>
        <v>-10600000</v>
      </c>
      <c r="F479" s="33" t="n">
        <f aca="false">F470+F474+F475+F476+F477+F478</f>
        <v>842225.224695652</v>
      </c>
      <c r="G479" s="33" t="n">
        <f aca="false">G470+G474+G475+G476+G477+G478</f>
        <v>963780.024957391</v>
      </c>
      <c r="H479" s="33" t="n">
        <f aca="false">H470+H474+H475+H476+H477+H478</f>
        <v>600992.609196113</v>
      </c>
      <c r="I479" s="33" t="n">
        <f aca="false">I470+I474+I475+I476+I477+I478</f>
        <v>980689.495549245</v>
      </c>
      <c r="J479" s="33" t="n">
        <f aca="false">J470+J474+J475+J476+J477+J478</f>
        <v>144779.667444903</v>
      </c>
      <c r="K479" s="33" t="n">
        <f aca="false">K470+K474+K475+K476+K477+K478</f>
        <v>505425.64758246</v>
      </c>
      <c r="L479" s="33" t="n">
        <f aca="false">L470+L474+L475+L476+L477+L478</f>
        <v>1004813.43367795</v>
      </c>
      <c r="M479" s="33" t="n">
        <f aca="false">M470+M474+M475+M476+M477+M478</f>
        <v>520511.924531557</v>
      </c>
      <c r="N479" s="33" t="n">
        <f aca="false">N470+N474+N475+N476+N477+N478</f>
        <v>1019884.65968609</v>
      </c>
      <c r="O479" s="33" t="n">
        <f aca="false">O470+O474+O475+O476+O477+O478</f>
        <v>6278007.69170695</v>
      </c>
      <c r="P479" s="3"/>
    </row>
    <row r="480" customFormat="false" ht="15" hidden="false" customHeight="false" outlineLevel="0" collapsed="false">
      <c r="A480" s="3"/>
      <c r="B480" s="4" t="s">
        <v>422</v>
      </c>
      <c r="C480" s="36" t="n">
        <f aca="false">C479-C478</f>
        <v>0</v>
      </c>
      <c r="D480" s="36" t="n">
        <f aca="false">C480+D479-D478</f>
        <v>0</v>
      </c>
      <c r="E480" s="36" t="n">
        <f aca="false">D480+E479-E478</f>
        <v>-10600000</v>
      </c>
      <c r="F480" s="36" t="n">
        <f aca="false">E480+F479-F478</f>
        <v>-9757774.77530435</v>
      </c>
      <c r="G480" s="36" t="n">
        <f aca="false">F480+G479-G478</f>
        <v>-8793994.75034696</v>
      </c>
      <c r="H480" s="36" t="n">
        <f aca="false">G480+H479-H478</f>
        <v>-8193002.14115084</v>
      </c>
      <c r="I480" s="36" t="n">
        <f aca="false">H480+I479-I478</f>
        <v>-7212312.6456016</v>
      </c>
      <c r="J480" s="36" t="n">
        <f aca="false">I480+J479-J478</f>
        <v>-7067532.9781567</v>
      </c>
      <c r="K480" s="36" t="n">
        <f aca="false">J480+K479-K478</f>
        <v>-6562107.33057424</v>
      </c>
      <c r="L480" s="36" t="n">
        <f aca="false">K480+L479-L478</f>
        <v>-5557293.89689628</v>
      </c>
      <c r="M480" s="36" t="n">
        <f aca="false">L480+M479-M478</f>
        <v>-5036781.97236473</v>
      </c>
      <c r="N480" s="36" t="n">
        <f aca="false">M480+N479-N478</f>
        <v>-4016897.31267864</v>
      </c>
      <c r="O480" s="36" t="n">
        <f aca="false">N480+O479-O478</f>
        <v>-4098889.62097168</v>
      </c>
      <c r="P480" s="3"/>
    </row>
    <row r="481" customFormat="false" ht="15" hidden="false" customHeight="false" outlineLevel="0" collapsed="false">
      <c r="A481" s="3"/>
      <c r="B481" s="6" t="s">
        <v>423</v>
      </c>
      <c r="C481" s="46" t="n">
        <v>0</v>
      </c>
      <c r="D481" s="46" t="n">
        <v>0</v>
      </c>
      <c r="E481" s="46" t="n">
        <v>0</v>
      </c>
      <c r="F481" s="46" t="n">
        <f aca="false">IF(AND(E480&lt;0,F480&gt;=0),F$456-1+(-E480)/(F479-F478),0)</f>
        <v>0</v>
      </c>
      <c r="G481" s="46" t="n">
        <f aca="false">IF(AND(F480&lt;0,G480&gt;=0),G$456-1+(-F480)/(G479-G478),0)</f>
        <v>0</v>
      </c>
      <c r="H481" s="46" t="n">
        <f aca="false">IF(AND(G480&lt;0,H480&gt;=0),H$456-1+(-G480)/(H479-H478),0)</f>
        <v>0</v>
      </c>
      <c r="I481" s="46" t="n">
        <f aca="false">IF(AND(H480&lt;0,I480&gt;=0),I$456-1+(-H480)/(I479-I478),0)</f>
        <v>0</v>
      </c>
      <c r="J481" s="46" t="n">
        <f aca="false">IF(AND(I480&lt;0,J480&gt;=0),J$456-1+(-I480)/(J479-J478),0)</f>
        <v>0</v>
      </c>
      <c r="K481" s="46" t="n">
        <f aca="false">IF(AND(J480&lt;0,K480&gt;=0),K$456-1+(-J480)/(K479-K478),0)</f>
        <v>0</v>
      </c>
      <c r="L481" s="46" t="n">
        <f aca="false">IF(AND(K480&lt;0,L480&gt;=0),L$456-1+(-K480)/(L479-L478),0)</f>
        <v>0</v>
      </c>
      <c r="M481" s="46" t="n">
        <f aca="false">IF(AND(L480&lt;0,M480&gt;=0),M$456-1+(-L480)/(M479-M478),0)</f>
        <v>0</v>
      </c>
      <c r="N481" s="46" t="n">
        <f aca="false">IF(AND(M480&lt;0,N480&gt;=0),N$456-1+(-M480)/(N479-N478),0)</f>
        <v>0</v>
      </c>
      <c r="O481" s="46" t="n">
        <f aca="false">IF(AND(N480&lt;0,O480&gt;=0),O$456-1+(-N480)/(O479-O478),0)</f>
        <v>0</v>
      </c>
      <c r="P481" s="3"/>
    </row>
    <row r="482" customFormat="false" ht="15" hidden="false" customHeight="false" outlineLevel="0" collapsed="false">
      <c r="A482" s="3"/>
      <c r="B482" s="14" t="s">
        <v>424</v>
      </c>
      <c r="C482" s="47" t="n">
        <f aca="false">IFERROR(IRR(C479:O479,0.05),IFERROR(IRR(C479:O479,-0.05),IF(SUM(C479:O479)&lt;0,"negativa","n/d")))</f>
        <v>0.026922799218436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customFormat="false" ht="15" hidden="false" customHeight="false" outlineLevel="0" collapsed="false">
      <c r="A483" s="3"/>
      <c r="B483" s="14" t="s">
        <v>425</v>
      </c>
      <c r="C483" s="48" t="n">
        <f aca="false">C479*(1+Premissas!$B$10)^2+D479*(1+Premissas!$B$10)+E479+NPV(Premissas!$B$10,F479:O479)</f>
        <v>-3929847.92289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customFormat="false" ht="15" hidden="false" customHeight="false" outlineLevel="0" collapsed="false">
      <c r="A484" s="3"/>
      <c r="B484" s="14" t="s">
        <v>426</v>
      </c>
      <c r="C484" s="49" t="str">
        <f aca="false">IF(SUM(F481:O481)=0,"&gt; 10",SUM(F481:O481))</f>
        <v>&gt; 10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customFormat="false" ht="15" hidden="false" customHeight="false" outlineLevel="0" collapsed="false">
      <c r="A485" s="3"/>
      <c r="B485" s="14" t="s">
        <v>427</v>
      </c>
      <c r="C485" s="47" t="n">
        <f aca="false">SUM(C479:O479)/-SUM(C477:E477)</f>
        <v>0.213312299908332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customFormat="false" ht="15" hidden="false" customHeight="false" outlineLevel="0" collapsed="false">
      <c r="A486" s="3"/>
      <c r="B486" s="14" t="s">
        <v>428</v>
      </c>
      <c r="C486" s="47" t="n">
        <f aca="false">AVERAGE(F473:O473)*(1-Premissas!$B$11)/-SUM(C477:E477)</f>
        <v>0.0640025203157757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customFormat="false" ht="15" hidden="false" customHeight="false" outlineLevel="0" collapsed="false">
      <c r="A487" s="3"/>
      <c r="B487" s="14" t="s">
        <v>429</v>
      </c>
      <c r="C487" s="48" t="n">
        <f aca="false">H470</f>
        <v>1425156.07453957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customFormat="false" ht="15" hidden="false" customHeight="false" outlineLevel="0" collapsed="false">
      <c r="A488" s="3"/>
      <c r="B488" s="14" t="s">
        <v>430</v>
      </c>
      <c r="C488" s="48" t="n">
        <f aca="false">H467</f>
        <v>4988649.0675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customFormat="false" ht="15" hidden="false" customHeight="false" outlineLevel="0" collapsed="false">
      <c r="A489" s="3"/>
      <c r="B489" s="14" t="s">
        <v>431</v>
      </c>
      <c r="C489" s="47" t="n">
        <f aca="false">H471</f>
        <v>0.285679761245215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customFormat="false" ht="15" hidden="false" customHeight="false" outlineLevel="0" collapsed="false">
      <c r="A490" s="3"/>
      <c r="B490" s="14" t="s">
        <v>432</v>
      </c>
      <c r="C490" s="48" t="n">
        <f aca="false">-(H468+H469)</f>
        <v>3563492.99296043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customFormat="false" ht="15" hidden="false" customHeight="false" outlineLevel="0" collapsed="false">
      <c r="A491" s="3"/>
      <c r="B491" s="14" t="s">
        <v>433</v>
      </c>
      <c r="C491" s="50" t="n">
        <f aca="false">IFERROR(-H469/((H467+H468)/H457),"n/d")</f>
        <v>19.1707803259998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customFormat="false" ht="15" hidden="false" customHeight="false" outlineLevel="0" collapsed="false">
      <c r="A492" s="3"/>
      <c r="B492" s="14" t="s">
        <v>434</v>
      </c>
      <c r="C492" s="48" t="n">
        <f aca="false">-SUM(C477:E477)</f>
        <v>10600000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customFormat="false" ht="15" hidden="false" customHeight="false" outlineLevel="0" collapsed="false">
      <c r="A493" s="3"/>
      <c r="B493" s="14" t="s">
        <v>435</v>
      </c>
      <c r="C493" s="48" t="n">
        <f aca="false">O478</f>
        <v>6360000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customFormat="false" ht="15" hidden="false" customHeight="false" outlineLevel="0" collapsed="false">
      <c r="A496" s="3"/>
      <c r="B496" s="19" t="s">
        <v>447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customFormat="false" ht="15" hidden="false" customHeight="false" outlineLevel="0" collapsed="false">
      <c r="A497" s="3"/>
      <c r="B497" s="14" t="s">
        <v>398</v>
      </c>
      <c r="C497" s="44" t="n">
        <v>-2</v>
      </c>
      <c r="D497" s="44" t="n">
        <v>-1</v>
      </c>
      <c r="E497" s="44" t="n">
        <v>0</v>
      </c>
      <c r="F497" s="44" t="n">
        <v>1</v>
      </c>
      <c r="G497" s="44" t="n">
        <v>2</v>
      </c>
      <c r="H497" s="44" t="n">
        <v>3</v>
      </c>
      <c r="I497" s="44" t="n">
        <v>4</v>
      </c>
      <c r="J497" s="44" t="n">
        <v>5</v>
      </c>
      <c r="K497" s="44" t="n">
        <v>6</v>
      </c>
      <c r="L497" s="44" t="n">
        <v>7</v>
      </c>
      <c r="M497" s="44" t="n">
        <v>8</v>
      </c>
      <c r="N497" s="44" t="n">
        <v>9</v>
      </c>
      <c r="O497" s="44" t="n">
        <v>10</v>
      </c>
      <c r="P497" s="3"/>
    </row>
    <row r="498" customFormat="false" ht="15" hidden="false" customHeight="false" outlineLevel="0" collapsed="false">
      <c r="A498" s="3"/>
      <c r="B498" s="4" t="s">
        <v>399</v>
      </c>
      <c r="C498" s="39" t="n">
        <f aca="false">IF(C$497&gt;=1,Premissas!$B$29*IF(C$497=1,Premissas!$B$37,1),0)</f>
        <v>0</v>
      </c>
      <c r="D498" s="39" t="n">
        <f aca="false">IF(D$497&gt;=1,Premissas!$B$29*IF(D$497=1,Premissas!$B$37,1),0)</f>
        <v>0</v>
      </c>
      <c r="E498" s="39" t="n">
        <f aca="false">IF(E$497&gt;=1,Premissas!$B$29*IF(E$497=1,Premissas!$B$37,1),0)</f>
        <v>0</v>
      </c>
      <c r="F498" s="39" t="n">
        <f aca="false">IF(F$497&gt;=1,Premissas!$B$29*IF(F$497=1,Premissas!$B$37,1),0)</f>
        <v>15</v>
      </c>
      <c r="G498" s="39" t="n">
        <f aca="false">IF(G$497&gt;=1,Premissas!$B$29*IF(G$497=1,Premissas!$B$37,1),0)</f>
        <v>20</v>
      </c>
      <c r="H498" s="39" t="n">
        <f aca="false">IF(H$497&gt;=1,Premissas!$B$29*IF(H$497=1,Premissas!$B$37,1),0)</f>
        <v>20</v>
      </c>
      <c r="I498" s="39" t="n">
        <f aca="false">IF(I$497&gt;=1,Premissas!$B$29*IF(I$497=1,Premissas!$B$37,1),0)</f>
        <v>20</v>
      </c>
      <c r="J498" s="39" t="n">
        <f aca="false">IF(J$497&gt;=1,Premissas!$B$29*IF(J$497=1,Premissas!$B$37,1),0)</f>
        <v>20</v>
      </c>
      <c r="K498" s="39" t="n">
        <f aca="false">IF(K$497&gt;=1,Premissas!$B$29*IF(K$497=1,Premissas!$B$37,1),0)</f>
        <v>20</v>
      </c>
      <c r="L498" s="39" t="n">
        <f aca="false">IF(L$497&gt;=1,Premissas!$B$29*IF(L$497=1,Premissas!$B$37,1),0)</f>
        <v>20</v>
      </c>
      <c r="M498" s="39" t="n">
        <f aca="false">IF(M$497&gt;=1,Premissas!$B$29*IF(M$497=1,Premissas!$B$37,1),0)</f>
        <v>20</v>
      </c>
      <c r="N498" s="39" t="n">
        <f aca="false">IF(N$497&gt;=1,Premissas!$B$29*IF(N$497=1,Premissas!$B$37,1),0)</f>
        <v>20</v>
      </c>
      <c r="O498" s="39" t="n">
        <f aca="false">IF(O$497&gt;=1,Premissas!$B$29*IF(O$497=1,Premissas!$B$37,1),0)</f>
        <v>20</v>
      </c>
      <c r="P498" s="3"/>
    </row>
    <row r="499" customFormat="false" ht="15" hidden="false" customHeight="false" outlineLevel="0" collapsed="false">
      <c r="A499" s="3"/>
      <c r="B499" s="4" t="s">
        <v>400</v>
      </c>
      <c r="C499" s="39" t="n">
        <f aca="false">MIN(C498,Premissas!$B$30)</f>
        <v>0</v>
      </c>
      <c r="D499" s="39" t="n">
        <f aca="false">MIN(D498,Premissas!$B$30)</f>
        <v>0</v>
      </c>
      <c r="E499" s="39" t="n">
        <f aca="false">MIN(E498,Premissas!$B$30)</f>
        <v>0</v>
      </c>
      <c r="F499" s="39" t="n">
        <f aca="false">MIN(F498,Premissas!$B$30)</f>
        <v>6</v>
      </c>
      <c r="G499" s="39" t="n">
        <f aca="false">MIN(G498,Premissas!$B$30)</f>
        <v>6</v>
      </c>
      <c r="H499" s="39" t="n">
        <f aca="false">MIN(H498,Premissas!$B$30)</f>
        <v>6</v>
      </c>
      <c r="I499" s="39" t="n">
        <f aca="false">MIN(I498,Premissas!$B$30)</f>
        <v>6</v>
      </c>
      <c r="J499" s="39" t="n">
        <f aca="false">MIN(J498,Premissas!$B$30)</f>
        <v>6</v>
      </c>
      <c r="K499" s="39" t="n">
        <f aca="false">MIN(K498,Premissas!$B$30)</f>
        <v>6</v>
      </c>
      <c r="L499" s="39" t="n">
        <f aca="false">MIN(L498,Premissas!$B$30)</f>
        <v>6</v>
      </c>
      <c r="M499" s="39" t="n">
        <f aca="false">MIN(M498,Premissas!$B$30)</f>
        <v>6</v>
      </c>
      <c r="N499" s="39" t="n">
        <f aca="false">MIN(N498,Premissas!$B$30)</f>
        <v>6</v>
      </c>
      <c r="O499" s="39" t="n">
        <f aca="false">MIN(O498,Premissas!$B$30)</f>
        <v>6</v>
      </c>
      <c r="P499" s="3"/>
    </row>
    <row r="500" customFormat="false" ht="15" hidden="false" customHeight="false" outlineLevel="0" collapsed="false">
      <c r="A500" s="3"/>
      <c r="B500" s="4" t="s">
        <v>401</v>
      </c>
      <c r="C500" s="39" t="n">
        <f aca="false">MIN(C498-C499,Premissas!$B$31)</f>
        <v>0</v>
      </c>
      <c r="D500" s="39" t="n">
        <f aca="false">MIN(D498-D499,Premissas!$B$31)</f>
        <v>0</v>
      </c>
      <c r="E500" s="39" t="n">
        <f aca="false">MIN(E498-E499,Premissas!$B$31)</f>
        <v>0</v>
      </c>
      <c r="F500" s="39" t="n">
        <f aca="false">MIN(F498-F499,Premissas!$B$31)</f>
        <v>4</v>
      </c>
      <c r="G500" s="39" t="n">
        <f aca="false">MIN(G498-G499,Premissas!$B$31)</f>
        <v>4</v>
      </c>
      <c r="H500" s="39" t="n">
        <f aca="false">MIN(H498-H499,Premissas!$B$31)</f>
        <v>4</v>
      </c>
      <c r="I500" s="39" t="n">
        <f aca="false">MIN(I498-I499,Premissas!$B$31)</f>
        <v>4</v>
      </c>
      <c r="J500" s="39" t="n">
        <f aca="false">MIN(J498-J499,Premissas!$B$31)</f>
        <v>4</v>
      </c>
      <c r="K500" s="39" t="n">
        <f aca="false">MIN(K498-K499,Premissas!$B$31)</f>
        <v>4</v>
      </c>
      <c r="L500" s="39" t="n">
        <f aca="false">MIN(L498-L499,Premissas!$B$31)</f>
        <v>4</v>
      </c>
      <c r="M500" s="39" t="n">
        <f aca="false">MIN(M498-M499,Premissas!$B$31)</f>
        <v>4</v>
      </c>
      <c r="N500" s="39" t="n">
        <f aca="false">MIN(N498-N499,Premissas!$B$31)</f>
        <v>4</v>
      </c>
      <c r="O500" s="39" t="n">
        <f aca="false">MIN(O498-O499,Premissas!$B$31)</f>
        <v>4</v>
      </c>
      <c r="P500" s="3"/>
    </row>
    <row r="501" customFormat="false" ht="15" hidden="false" customHeight="false" outlineLevel="0" collapsed="false">
      <c r="A501" s="3"/>
      <c r="B501" s="4" t="s">
        <v>402</v>
      </c>
      <c r="C501" s="39" t="n">
        <f aca="false">C498-C499-C500</f>
        <v>0</v>
      </c>
      <c r="D501" s="39" t="n">
        <f aca="false">D498-D499-D500</f>
        <v>0</v>
      </c>
      <c r="E501" s="39" t="n">
        <f aca="false">E498-E499-E500</f>
        <v>0</v>
      </c>
      <c r="F501" s="39" t="n">
        <f aca="false">F498-F499-F500</f>
        <v>5</v>
      </c>
      <c r="G501" s="39" t="n">
        <f aca="false">G498-G499-G500</f>
        <v>10</v>
      </c>
      <c r="H501" s="39" t="n">
        <f aca="false">H498-H499-H500</f>
        <v>10</v>
      </c>
      <c r="I501" s="39" t="n">
        <f aca="false">I498-I499-I500</f>
        <v>10</v>
      </c>
      <c r="J501" s="39" t="n">
        <f aca="false">J498-J499-J500</f>
        <v>10</v>
      </c>
      <c r="K501" s="39" t="n">
        <f aca="false">K498-K499-K500</f>
        <v>10</v>
      </c>
      <c r="L501" s="39" t="n">
        <f aca="false">L498-L499-L500</f>
        <v>10</v>
      </c>
      <c r="M501" s="39" t="n">
        <f aca="false">M498-M499-M500</f>
        <v>10</v>
      </c>
      <c r="N501" s="39" t="n">
        <f aca="false">N498-N499-N500</f>
        <v>10</v>
      </c>
      <c r="O501" s="39" t="n">
        <f aca="false">O498-O499-O500</f>
        <v>10</v>
      </c>
      <c r="P501" s="3"/>
    </row>
    <row r="502" customFormat="false" ht="15" hidden="false" customHeight="false" outlineLevel="0" collapsed="false">
      <c r="A502" s="3"/>
      <c r="B502" s="4" t="s">
        <v>403</v>
      </c>
      <c r="C502" s="45" t="n">
        <f aca="false">IF(C$497&gt;=1,(1+Premissas!$B$8)^(C$497-1),0)</f>
        <v>0</v>
      </c>
      <c r="D502" s="45" t="n">
        <f aca="false">IF(D$497&gt;=1,(1+Premissas!$B$8)^(D$497-1),0)</f>
        <v>0</v>
      </c>
      <c r="E502" s="45" t="n">
        <f aca="false">IF(E$497&gt;=1,(1+Premissas!$B$8)^(E$497-1),0)</f>
        <v>0</v>
      </c>
      <c r="F502" s="45" t="n">
        <f aca="false">IF(F$497&gt;=1,(1+Premissas!$B$8)^(F$497-1),0)</f>
        <v>1</v>
      </c>
      <c r="G502" s="45" t="n">
        <f aca="false">IF(G$497&gt;=1,(1+Premissas!$B$8)^(G$497-1),0)</f>
        <v>1.025</v>
      </c>
      <c r="H502" s="45" t="n">
        <f aca="false">IF(H$497&gt;=1,(1+Premissas!$B$8)^(H$497-1),0)</f>
        <v>1.050625</v>
      </c>
      <c r="I502" s="45" t="n">
        <f aca="false">IF(I$497&gt;=1,(1+Premissas!$B$8)^(I$497-1),0)</f>
        <v>1.076890625</v>
      </c>
      <c r="J502" s="45" t="n">
        <f aca="false">IF(J$497&gt;=1,(1+Premissas!$B$8)^(J$497-1),0)</f>
        <v>1.103812890625</v>
      </c>
      <c r="K502" s="45" t="n">
        <f aca="false">IF(K$497&gt;=1,(1+Premissas!$B$8)^(K$497-1),0)</f>
        <v>1.13140821289062</v>
      </c>
      <c r="L502" s="45" t="n">
        <f aca="false">IF(L$497&gt;=1,(1+Premissas!$B$8)^(L$497-1),0)</f>
        <v>1.15969341821289</v>
      </c>
      <c r="M502" s="45" t="n">
        <f aca="false">IF(M$497&gt;=1,(1+Premissas!$B$8)^(M$497-1),0)</f>
        <v>1.18868575366821</v>
      </c>
      <c r="N502" s="45" t="n">
        <f aca="false">IF(N$497&gt;=1,(1+Premissas!$B$8)^(N$497-1),0)</f>
        <v>1.21840289750992</v>
      </c>
      <c r="O502" s="45" t="n">
        <f aca="false">IF(O$497&gt;=1,(1+Premissas!$B$8)^(O$497-1),0)</f>
        <v>1.24886296994767</v>
      </c>
      <c r="P502" s="3"/>
    </row>
    <row r="503" customFormat="false" ht="15" hidden="false" customHeight="false" outlineLevel="0" collapsed="false">
      <c r="A503" s="3"/>
      <c r="B503" s="4" t="s">
        <v>404</v>
      </c>
      <c r="C503" s="45" t="n">
        <f aca="false">IF(C$497&gt;=1,(1+Premissas!$B$9)^(C$497-1),0)</f>
        <v>0</v>
      </c>
      <c r="D503" s="45" t="n">
        <f aca="false">IF(D$497&gt;=1,(1+Premissas!$B$9)^(D$497-1),0)</f>
        <v>0</v>
      </c>
      <c r="E503" s="45" t="n">
        <f aca="false">IF(E$497&gt;=1,(1+Premissas!$B$9)^(E$497-1),0)</f>
        <v>0</v>
      </c>
      <c r="F503" s="45" t="n">
        <f aca="false">IF(F$497&gt;=1,(1+Premissas!$B$9)^(F$497-1),0)</f>
        <v>1</v>
      </c>
      <c r="G503" s="45" t="n">
        <f aca="false">IF(G$497&gt;=1,(1+Premissas!$B$9)^(G$497-1),0)</f>
        <v>1.03</v>
      </c>
      <c r="H503" s="45" t="n">
        <f aca="false">IF(H$497&gt;=1,(1+Premissas!$B$9)^(H$497-1),0)</f>
        <v>1.0609</v>
      </c>
      <c r="I503" s="45" t="n">
        <f aca="false">IF(I$497&gt;=1,(1+Premissas!$B$9)^(I$497-1),0)</f>
        <v>1.092727</v>
      </c>
      <c r="J503" s="45" t="n">
        <f aca="false">IF(J$497&gt;=1,(1+Premissas!$B$9)^(J$497-1),0)</f>
        <v>1.12550881</v>
      </c>
      <c r="K503" s="45" t="n">
        <f aca="false">IF(K$497&gt;=1,(1+Premissas!$B$9)^(K$497-1),0)</f>
        <v>1.1592740743</v>
      </c>
      <c r="L503" s="45" t="n">
        <f aca="false">IF(L$497&gt;=1,(1+Premissas!$B$9)^(L$497-1),0)</f>
        <v>1.194052296529</v>
      </c>
      <c r="M503" s="45" t="n">
        <f aca="false">IF(M$497&gt;=1,(1+Premissas!$B$9)^(M$497-1),0)</f>
        <v>1.22987386542487</v>
      </c>
      <c r="N503" s="45" t="n">
        <f aca="false">IF(N$497&gt;=1,(1+Premissas!$B$9)^(N$497-1),0)</f>
        <v>1.26677008138762</v>
      </c>
      <c r="O503" s="45" t="n">
        <f aca="false">IF(O$497&gt;=1,(1+Premissas!$B$9)^(O$497-1),0)</f>
        <v>1.30477318382925</v>
      </c>
      <c r="P503" s="3"/>
    </row>
    <row r="504" customFormat="false" ht="15" hidden="false" customHeight="false" outlineLevel="0" collapsed="false">
      <c r="A504" s="3"/>
      <c r="B504" s="4" t="s">
        <v>405</v>
      </c>
      <c r="C504" s="36" t="n">
        <f aca="false">C499*Premissas!$F$77*Premissas!$B$32*C502</f>
        <v>0</v>
      </c>
      <c r="D504" s="36" t="n">
        <f aca="false">D499*Premissas!$F$77*Premissas!$B$32*D502</f>
        <v>0</v>
      </c>
      <c r="E504" s="36" t="n">
        <f aca="false">E499*Premissas!$F$77*Premissas!$B$32*E502</f>
        <v>0</v>
      </c>
      <c r="F504" s="36" t="n">
        <f aca="false">F499*Premissas!$F$77*Premissas!$B$32*F502</f>
        <v>648000</v>
      </c>
      <c r="G504" s="36" t="n">
        <f aca="false">G499*Premissas!$F$77*Premissas!$B$32*G502</f>
        <v>664200</v>
      </c>
      <c r="H504" s="36" t="n">
        <f aca="false">H499*Premissas!$F$77*Premissas!$B$32*H502</f>
        <v>680805</v>
      </c>
      <c r="I504" s="36" t="n">
        <f aca="false">I499*Premissas!$F$77*Premissas!$B$32*I502</f>
        <v>697825.125</v>
      </c>
      <c r="J504" s="36" t="n">
        <f aca="false">J499*Premissas!$F$77*Premissas!$B$32*J502</f>
        <v>715270.753125</v>
      </c>
      <c r="K504" s="36" t="n">
        <f aca="false">K499*Premissas!$F$77*Premissas!$B$32*K502</f>
        <v>733152.521953125</v>
      </c>
      <c r="L504" s="36" t="n">
        <f aca="false">L499*Premissas!$F$77*Premissas!$B$32*L502</f>
        <v>751481.335001953</v>
      </c>
      <c r="M504" s="36" t="n">
        <f aca="false">M499*Premissas!$F$77*Premissas!$B$32*M502</f>
        <v>770268.368377002</v>
      </c>
      <c r="N504" s="36" t="n">
        <f aca="false">N499*Premissas!$F$77*Premissas!$B$32*N502</f>
        <v>789525.077586426</v>
      </c>
      <c r="O504" s="36" t="n">
        <f aca="false">O499*Premissas!$F$77*Premissas!$B$32*O502</f>
        <v>809263.204526087</v>
      </c>
      <c r="P504" s="3"/>
    </row>
    <row r="505" customFormat="false" ht="15" hidden="false" customHeight="false" outlineLevel="0" collapsed="false">
      <c r="A505" s="3"/>
      <c r="B505" s="4" t="s">
        <v>406</v>
      </c>
      <c r="C505" s="36" t="n">
        <f aca="false">C501*Premissas!$F$77*Premissas!$B$32*(1-Premissas!$B$12)*C502</f>
        <v>0</v>
      </c>
      <c r="D505" s="36" t="n">
        <f aca="false">D501*Premissas!$F$77*Premissas!$B$32*(1-Premissas!$B$12)*D502</f>
        <v>0</v>
      </c>
      <c r="E505" s="36" t="n">
        <f aca="false">E501*Premissas!$F$77*Premissas!$B$32*(1-Premissas!$B$12)*E502</f>
        <v>0</v>
      </c>
      <c r="F505" s="36" t="n">
        <f aca="false">F501*Premissas!$F$77*Premissas!$B$32*(1-Premissas!$B$12)*F502</f>
        <v>459000</v>
      </c>
      <c r="G505" s="36" t="n">
        <f aca="false">G501*Premissas!$F$77*Premissas!$B$32*(1-Premissas!$B$12)*G502</f>
        <v>940950</v>
      </c>
      <c r="H505" s="36" t="n">
        <f aca="false">H501*Premissas!$F$77*Premissas!$B$32*(1-Premissas!$B$12)*H502</f>
        <v>964473.75</v>
      </c>
      <c r="I505" s="36" t="n">
        <f aca="false">I501*Premissas!$F$77*Premissas!$B$32*(1-Premissas!$B$12)*I502</f>
        <v>988585.59375</v>
      </c>
      <c r="J505" s="36" t="n">
        <f aca="false">J501*Premissas!$F$77*Premissas!$B$32*(1-Premissas!$B$12)*J502</f>
        <v>1013300.23359375</v>
      </c>
      <c r="K505" s="36" t="n">
        <f aca="false">K501*Premissas!$F$77*Premissas!$B$32*(1-Premissas!$B$12)*K502</f>
        <v>1038632.73943359</v>
      </c>
      <c r="L505" s="36" t="n">
        <f aca="false">L501*Premissas!$F$77*Premissas!$B$32*(1-Premissas!$B$12)*L502</f>
        <v>1064598.55791943</v>
      </c>
      <c r="M505" s="36" t="n">
        <f aca="false">M501*Premissas!$F$77*Premissas!$B$32*(1-Premissas!$B$12)*M502</f>
        <v>1091213.52186742</v>
      </c>
      <c r="N505" s="36" t="n">
        <f aca="false">N501*Premissas!$F$77*Premissas!$B$32*(1-Premissas!$B$12)*N502</f>
        <v>1118493.8599141</v>
      </c>
      <c r="O505" s="36" t="n">
        <f aca="false">O501*Premissas!$F$77*Premissas!$B$32*(1-Premissas!$B$12)*O502</f>
        <v>1146456.20641196</v>
      </c>
      <c r="P505" s="3"/>
    </row>
    <row r="506" customFormat="false" ht="15" hidden="false" customHeight="false" outlineLevel="0" collapsed="false">
      <c r="A506" s="3"/>
      <c r="B506" s="4" t="s">
        <v>407</v>
      </c>
      <c r="C506" s="36" t="n">
        <f aca="false">C500*Premissas!$F$44*Premissas!$B$38*Premissas!$F$78*Premissas!$B$32*(1-Premissas!$B$12)*C502</f>
        <v>0</v>
      </c>
      <c r="D506" s="36" t="n">
        <f aca="false">D500*Premissas!$F$44*Premissas!$B$38*Premissas!$F$78*Premissas!$B$32*(1-Premissas!$B$12)*D502</f>
        <v>0</v>
      </c>
      <c r="E506" s="36" t="n">
        <f aca="false">E500*Premissas!$F$44*Premissas!$B$38*Premissas!$F$78*Premissas!$B$32*(1-Premissas!$B$12)*E502</f>
        <v>0</v>
      </c>
      <c r="F506" s="36" t="n">
        <f aca="false">F500*Premissas!$F$44*Premissas!$B$38*Premissas!$F$78*Premissas!$B$32*(1-Premissas!$B$12)*F502</f>
        <v>334152</v>
      </c>
      <c r="G506" s="36" t="n">
        <f aca="false">G500*Premissas!$F$44*Premissas!$B$38*Premissas!$F$78*Premissas!$B$32*(1-Premissas!$B$12)*G502</f>
        <v>342505.8</v>
      </c>
      <c r="H506" s="36" t="n">
        <f aca="false">H500*Premissas!$F$44*Premissas!$B$38*Premissas!$F$78*Premissas!$B$32*(1-Premissas!$B$12)*H502</f>
        <v>351068.445</v>
      </c>
      <c r="I506" s="36" t="n">
        <f aca="false">I500*Premissas!$F$44*Premissas!$B$38*Premissas!$F$78*Premissas!$B$32*(1-Premissas!$B$12)*I502</f>
        <v>359845.156125</v>
      </c>
      <c r="J506" s="36" t="n">
        <f aca="false">J500*Premissas!$F$44*Premissas!$B$38*Premissas!$F$78*Premissas!$B$32*(1-Premissas!$B$12)*J502</f>
        <v>368841.285028125</v>
      </c>
      <c r="K506" s="36" t="n">
        <f aca="false">K500*Premissas!$F$44*Premissas!$B$38*Premissas!$F$78*Premissas!$B$32*(1-Premissas!$B$12)*K502</f>
        <v>378062.317153828</v>
      </c>
      <c r="L506" s="36" t="n">
        <f aca="false">L500*Premissas!$F$44*Premissas!$B$38*Premissas!$F$78*Premissas!$B$32*(1-Premissas!$B$12)*L502</f>
        <v>387513.875082674</v>
      </c>
      <c r="M506" s="36" t="n">
        <f aca="false">M500*Premissas!$F$44*Premissas!$B$38*Premissas!$F$78*Premissas!$B$32*(1-Premissas!$B$12)*M502</f>
        <v>397201.72195974</v>
      </c>
      <c r="N506" s="36" t="n">
        <f aca="false">N500*Premissas!$F$44*Premissas!$B$38*Premissas!$F$78*Premissas!$B$32*(1-Premissas!$B$12)*N502</f>
        <v>407131.765008734</v>
      </c>
      <c r="O506" s="36" t="n">
        <f aca="false">O500*Premissas!$F$44*Premissas!$B$38*Premissas!$F$78*Premissas!$B$32*(1-Premissas!$B$12)*O502</f>
        <v>417310.059133952</v>
      </c>
      <c r="P506" s="3"/>
    </row>
    <row r="507" customFormat="false" ht="15" hidden="false" customHeight="false" outlineLevel="0" collapsed="false">
      <c r="A507" s="3"/>
      <c r="B507" s="4" t="s">
        <v>408</v>
      </c>
      <c r="C507" s="36" t="n">
        <f aca="false">C498*Premissas!$F$44*Premissas!$B$14*Premissas!$B$13*C502</f>
        <v>0</v>
      </c>
      <c r="D507" s="36" t="n">
        <f aca="false">D498*Premissas!$F$44*Premissas!$B$14*Premissas!$B$13*D502</f>
        <v>0</v>
      </c>
      <c r="E507" s="36" t="n">
        <f aca="false">E498*Premissas!$F$44*Premissas!$B$14*Premissas!$B$13*E502</f>
        <v>0</v>
      </c>
      <c r="F507" s="36" t="n">
        <f aca="false">F498*Premissas!$F$44*Premissas!$B$14*Premissas!$B$13*F502</f>
        <v>81000</v>
      </c>
      <c r="G507" s="36" t="n">
        <f aca="false">G498*Premissas!$F$44*Premissas!$B$14*Premissas!$B$13*G502</f>
        <v>110700</v>
      </c>
      <c r="H507" s="36" t="n">
        <f aca="false">H498*Premissas!$F$44*Premissas!$B$14*Premissas!$B$13*H502</f>
        <v>113467.5</v>
      </c>
      <c r="I507" s="36" t="n">
        <f aca="false">I498*Premissas!$F$44*Premissas!$B$14*Premissas!$B$13*I502</f>
        <v>116304.1875</v>
      </c>
      <c r="J507" s="36" t="n">
        <f aca="false">J498*Premissas!$F$44*Premissas!$B$14*Premissas!$B$13*J502</f>
        <v>119211.7921875</v>
      </c>
      <c r="K507" s="36" t="n">
        <f aca="false">K498*Premissas!$F$44*Premissas!$B$14*Premissas!$B$13*K502</f>
        <v>122192.086992187</v>
      </c>
      <c r="L507" s="36" t="n">
        <f aca="false">L498*Premissas!$F$44*Premissas!$B$14*Premissas!$B$13*L502</f>
        <v>125246.889166992</v>
      </c>
      <c r="M507" s="36" t="n">
        <f aca="false">M498*Premissas!$F$44*Premissas!$B$14*Premissas!$B$13*M502</f>
        <v>128378.061396167</v>
      </c>
      <c r="N507" s="36" t="n">
        <f aca="false">N498*Premissas!$F$44*Premissas!$B$14*Premissas!$B$13*N502</f>
        <v>131587.512931071</v>
      </c>
      <c r="O507" s="36" t="n">
        <f aca="false">O498*Premissas!$F$44*Premissas!$B$14*Premissas!$B$13*O502</f>
        <v>134877.200754348</v>
      </c>
      <c r="P507" s="3"/>
    </row>
    <row r="508" customFormat="false" ht="15" hidden="false" customHeight="false" outlineLevel="0" collapsed="false">
      <c r="A508" s="3"/>
      <c r="B508" s="14" t="s">
        <v>409</v>
      </c>
      <c r="C508" s="33" t="n">
        <f aca="false">SUM(C504:C507)</f>
        <v>0</v>
      </c>
      <c r="D508" s="33" t="n">
        <f aca="false">SUM(D504:D507)</f>
        <v>0</v>
      </c>
      <c r="E508" s="33" t="n">
        <f aca="false">SUM(E504:E507)</f>
        <v>0</v>
      </c>
      <c r="F508" s="33" t="n">
        <f aca="false">SUM(F504:F507)</f>
        <v>1522152</v>
      </c>
      <c r="G508" s="33" t="n">
        <f aca="false">SUM(G504:G507)</f>
        <v>2058355.8</v>
      </c>
      <c r="H508" s="33" t="n">
        <f aca="false">SUM(H504:H507)</f>
        <v>2109814.695</v>
      </c>
      <c r="I508" s="33" t="n">
        <f aca="false">SUM(I504:I507)</f>
        <v>2162560.062375</v>
      </c>
      <c r="J508" s="33" t="n">
        <f aca="false">SUM(J504:J507)</f>
        <v>2216624.06393437</v>
      </c>
      <c r="K508" s="33" t="n">
        <f aca="false">SUM(K504:K507)</f>
        <v>2272039.66553273</v>
      </c>
      <c r="L508" s="33" t="n">
        <f aca="false">SUM(L504:L507)</f>
        <v>2328840.65717105</v>
      </c>
      <c r="M508" s="33" t="n">
        <f aca="false">SUM(M504:M507)</f>
        <v>2387061.67360033</v>
      </c>
      <c r="N508" s="33" t="n">
        <f aca="false">SUM(N504:N507)</f>
        <v>2446738.21544034</v>
      </c>
      <c r="O508" s="33" t="n">
        <f aca="false">SUM(O504:O507)</f>
        <v>2507906.67082634</v>
      </c>
      <c r="P508" s="3"/>
    </row>
    <row r="509" customFormat="false" ht="15" hidden="false" customHeight="false" outlineLevel="0" collapsed="false">
      <c r="A509" s="3"/>
      <c r="B509" s="4" t="s">
        <v>410</v>
      </c>
      <c r="C509" s="36" t="n">
        <f aca="false">-C498*(Premissas!$F$70*Premissas!$B$34/Premissas!$B$6+Premissas!$F$75)*Premissas!$B$33*C503</f>
        <v>-0</v>
      </c>
      <c r="D509" s="36" t="n">
        <f aca="false">-D498*(Premissas!$F$70*Premissas!$B$34/Premissas!$B$6+Premissas!$F$75)*Premissas!$B$33*D503</f>
        <v>-0</v>
      </c>
      <c r="E509" s="36" t="n">
        <f aca="false">-E498*(Premissas!$F$70*Premissas!$B$34/Premissas!$B$6+Premissas!$F$75)*Premissas!$B$33*E503</f>
        <v>-0</v>
      </c>
      <c r="F509" s="36" t="n">
        <f aca="false">-F498*(Premissas!$F$70*Premissas!$B$34/Premissas!$B$6+Premissas!$F$75)*Premissas!$B$33*F503</f>
        <v>-633686.804347826</v>
      </c>
      <c r="G509" s="36" t="n">
        <f aca="false">-G498*(Premissas!$F$70*Premissas!$B$34/Premissas!$B$6+Premissas!$F$75)*Premissas!$B$33*G503</f>
        <v>-870263.211304348</v>
      </c>
      <c r="H509" s="36" t="n">
        <f aca="false">-H498*(Premissas!$F$70*Premissas!$B$34/Premissas!$B$6+Premissas!$F$75)*Premissas!$B$33*H503</f>
        <v>-896371.107643478</v>
      </c>
      <c r="I509" s="36" t="n">
        <f aca="false">-I498*(Premissas!$F$70*Premissas!$B$34/Premissas!$B$6+Premissas!$F$75)*Premissas!$B$33*I503</f>
        <v>-923262.240872783</v>
      </c>
      <c r="J509" s="36" t="n">
        <f aca="false">-J498*(Premissas!$F$70*Premissas!$B$34/Premissas!$B$6+Premissas!$F$75)*Premissas!$B$33*J503</f>
        <v>-950960.108098966</v>
      </c>
      <c r="K509" s="36" t="n">
        <f aca="false">-K498*(Premissas!$F$70*Premissas!$B$34/Premissas!$B$6+Premissas!$F$75)*Premissas!$B$33*K503</f>
        <v>-979488.911341935</v>
      </c>
      <c r="L509" s="36" t="n">
        <f aca="false">-L498*(Premissas!$F$70*Premissas!$B$34/Premissas!$B$6+Premissas!$F$75)*Premissas!$B$33*L503</f>
        <v>-1008873.57868219</v>
      </c>
      <c r="M509" s="36" t="n">
        <f aca="false">-M498*(Premissas!$F$70*Premissas!$B$34/Premissas!$B$6+Premissas!$F$75)*Premissas!$B$33*M503</f>
        <v>-1039139.78604266</v>
      </c>
      <c r="N509" s="36" t="n">
        <f aca="false">-N498*(Premissas!$F$70*Premissas!$B$34/Premissas!$B$6+Premissas!$F$75)*Premissas!$B$33*N503</f>
        <v>-1070313.97962394</v>
      </c>
      <c r="O509" s="36" t="n">
        <f aca="false">-O498*(Premissas!$F$70*Premissas!$B$34/Premissas!$B$6+Premissas!$F$75)*Premissas!$B$33*O503</f>
        <v>-1102423.39901266</v>
      </c>
      <c r="P509" s="3"/>
    </row>
    <row r="510" customFormat="false" ht="15" hidden="false" customHeight="false" outlineLevel="0" collapsed="false">
      <c r="A510" s="3"/>
      <c r="B510" s="4" t="s">
        <v>411</v>
      </c>
      <c r="C510" s="36" t="n">
        <f aca="false">-IF(C$497&gt;=1,Premissas!$F$68*Premissas!$B$33*C503,0)</f>
        <v>-0</v>
      </c>
      <c r="D510" s="36" t="n">
        <f aca="false">-IF(D$497&gt;=1,Premissas!$F$68*Premissas!$B$33*D503,0)</f>
        <v>-0</v>
      </c>
      <c r="E510" s="36" t="n">
        <f aca="false">-IF(E$497&gt;=1,Premissas!$F$68*Premissas!$B$33*E503,0)</f>
        <v>-0</v>
      </c>
      <c r="F510" s="36" t="n">
        <f aca="false">-IF(F$497&gt;=1,Premissas!$F$68*Premissas!$B$33*F503,0)</f>
        <v>-2410632.4</v>
      </c>
      <c r="G510" s="36" t="n">
        <f aca="false">-IF(G$497&gt;=1,Premissas!$F$68*Premissas!$B$33*G503,0)</f>
        <v>-2482951.372</v>
      </c>
      <c r="H510" s="36" t="n">
        <f aca="false">-IF(H$497&gt;=1,Premissas!$F$68*Premissas!$B$33*H503,0)</f>
        <v>-2557439.91316</v>
      </c>
      <c r="I510" s="36" t="n">
        <f aca="false">-IF(I$497&gt;=1,Premissas!$F$68*Premissas!$B$33*I503,0)</f>
        <v>-2634163.1105548</v>
      </c>
      <c r="J510" s="36" t="n">
        <f aca="false">-IF(J$497&gt;=1,Premissas!$F$68*Premissas!$B$33*J503,0)</f>
        <v>-2713188.00387144</v>
      </c>
      <c r="K510" s="36" t="n">
        <f aca="false">-IF(K$497&gt;=1,Premissas!$F$68*Premissas!$B$33*K503,0)</f>
        <v>-2794583.64398759</v>
      </c>
      <c r="L510" s="36" t="n">
        <f aca="false">-IF(L$497&gt;=1,Premissas!$F$68*Premissas!$B$33*L503,0)</f>
        <v>-2878421.15330722</v>
      </c>
      <c r="M510" s="36" t="n">
        <f aca="false">-IF(M$497&gt;=1,Premissas!$F$68*Premissas!$B$33*M503,0)</f>
        <v>-2964773.78790643</v>
      </c>
      <c r="N510" s="36" t="n">
        <f aca="false">-IF(N$497&gt;=1,Premissas!$F$68*Premissas!$B$33*N503,0)</f>
        <v>-3053717.00154363</v>
      </c>
      <c r="O510" s="36" t="n">
        <f aca="false">-IF(O$497&gt;=1,Premissas!$F$68*Premissas!$B$33*O503,0)</f>
        <v>-3145328.51158993</v>
      </c>
      <c r="P510" s="3"/>
    </row>
    <row r="511" customFormat="false" ht="15" hidden="false" customHeight="false" outlineLevel="0" collapsed="false">
      <c r="A511" s="3"/>
      <c r="B511" s="14" t="s">
        <v>412</v>
      </c>
      <c r="C511" s="33" t="n">
        <f aca="false">C508+C509+C510</f>
        <v>0</v>
      </c>
      <c r="D511" s="33" t="n">
        <f aca="false">D508+D509+D510</f>
        <v>0</v>
      </c>
      <c r="E511" s="33" t="n">
        <f aca="false">E508+E509+E510</f>
        <v>0</v>
      </c>
      <c r="F511" s="33" t="n">
        <f aca="false">F508+F509+F510</f>
        <v>-1522167.20434783</v>
      </c>
      <c r="G511" s="33" t="n">
        <f aca="false">G508+G509+G510</f>
        <v>-1294858.78330435</v>
      </c>
      <c r="H511" s="33" t="n">
        <f aca="false">H508+H509+H510</f>
        <v>-1343996.32580348</v>
      </c>
      <c r="I511" s="33" t="n">
        <f aca="false">I508+I509+I510</f>
        <v>-1394865.28905258</v>
      </c>
      <c r="J511" s="33" t="n">
        <f aca="false">J508+J509+J510</f>
        <v>-1447524.04803604</v>
      </c>
      <c r="K511" s="33" t="n">
        <f aca="false">K508+K509+K510</f>
        <v>-1502032.88979679</v>
      </c>
      <c r="L511" s="33" t="n">
        <f aca="false">L508+L509+L510</f>
        <v>-1558454.07481836</v>
      </c>
      <c r="M511" s="33" t="n">
        <f aca="false">M508+M509+M510</f>
        <v>-1616851.90034876</v>
      </c>
      <c r="N511" s="33" t="n">
        <f aca="false">N508+N509+N510</f>
        <v>-1677292.76572723</v>
      </c>
      <c r="O511" s="33" t="n">
        <f aca="false">O508+O509+O510</f>
        <v>-1739845.23977625</v>
      </c>
      <c r="P511" s="3"/>
    </row>
    <row r="512" customFormat="false" ht="15" hidden="false" customHeight="false" outlineLevel="0" collapsed="false">
      <c r="A512" s="3"/>
      <c r="B512" s="4" t="s">
        <v>413</v>
      </c>
      <c r="C512" s="42" t="n">
        <f aca="false">IF(C508=0,0,C511/C508)</f>
        <v>0</v>
      </c>
      <c r="D512" s="42" t="n">
        <f aca="false">IF(D508=0,0,D511/D508)</f>
        <v>0</v>
      </c>
      <c r="E512" s="42" t="n">
        <f aca="false">IF(E508=0,0,E511/E508)</f>
        <v>0</v>
      </c>
      <c r="F512" s="42" t="n">
        <f aca="false">IF(F508=0,0,F511/F508)</f>
        <v>-1.00000998871849</v>
      </c>
      <c r="G512" s="42" t="n">
        <f aca="false">IF(G508=0,0,G511/G508)</f>
        <v>-0.629074323935808</v>
      </c>
      <c r="H512" s="42" t="n">
        <f aca="false">IF(H508=0,0,H511/H508)</f>
        <v>-0.637021027955007</v>
      </c>
      <c r="I512" s="42" t="n">
        <f aca="false">IF(I508=0,0,I511/I508)</f>
        <v>-0.645006496384056</v>
      </c>
      <c r="J512" s="42" t="n">
        <f aca="false">IF(J508=0,0,J511/J508)</f>
        <v>-0.653030918317637</v>
      </c>
      <c r="K512" s="42" t="n">
        <f aca="false">IF(K508=0,0,K511/K508)</f>
        <v>-0.661094483772845</v>
      </c>
      <c r="L512" s="42" t="n">
        <f aca="false">IF(L508=0,0,L511/L508)</f>
        <v>-0.669197383693688</v>
      </c>
      <c r="M512" s="42" t="n">
        <f aca="false">IF(M508=0,0,M511/M508)</f>
        <v>-0.677339809955609</v>
      </c>
      <c r="N512" s="42" t="n">
        <f aca="false">IF(N508=0,0,N511/N508)</f>
        <v>-0.685521955370027</v>
      </c>
      <c r="O512" s="42" t="n">
        <f aca="false">IF(O508=0,0,O511/O508)</f>
        <v>-0.693744013688905</v>
      </c>
      <c r="P512" s="3"/>
    </row>
    <row r="513" customFormat="false" ht="15" hidden="false" customHeight="false" outlineLevel="0" collapsed="false">
      <c r="A513" s="3"/>
      <c r="B513" s="4" t="s">
        <v>414</v>
      </c>
      <c r="C513" s="36" t="n">
        <f aca="false">-IF(C$497&gt;=1,Premissas!$F$52*(1-Premissas!$B$35)/10,0)</f>
        <v>-0</v>
      </c>
      <c r="D513" s="36" t="n">
        <f aca="false">-IF(D$497&gt;=1,Premissas!$F$52*(1-Premissas!$B$35)/10,0)</f>
        <v>-0</v>
      </c>
      <c r="E513" s="36" t="n">
        <f aca="false">-IF(E$497&gt;=1,Premissas!$F$52*(1-Premissas!$B$35)/10,0)</f>
        <v>-0</v>
      </c>
      <c r="F513" s="36" t="n">
        <f aca="false">-IF(F$497&gt;=1,Premissas!$F$52*(1-Premissas!$B$35)/10,0)</f>
        <v>-1505350</v>
      </c>
      <c r="G513" s="36" t="n">
        <f aca="false">-IF(G$497&gt;=1,Premissas!$F$52*(1-Premissas!$B$35)/10,0)</f>
        <v>-1505350</v>
      </c>
      <c r="H513" s="36" t="n">
        <f aca="false">-IF(H$497&gt;=1,Premissas!$F$52*(1-Premissas!$B$35)/10,0)</f>
        <v>-1505350</v>
      </c>
      <c r="I513" s="36" t="n">
        <f aca="false">-IF(I$497&gt;=1,Premissas!$F$52*(1-Premissas!$B$35)/10,0)</f>
        <v>-1505350</v>
      </c>
      <c r="J513" s="36" t="n">
        <f aca="false">-IF(J$497&gt;=1,Premissas!$F$52*(1-Premissas!$B$35)/10,0)</f>
        <v>-1505350</v>
      </c>
      <c r="K513" s="36" t="n">
        <f aca="false">-IF(K$497&gt;=1,Premissas!$F$52*(1-Premissas!$B$35)/10,0)</f>
        <v>-1505350</v>
      </c>
      <c r="L513" s="36" t="n">
        <f aca="false">-IF(L$497&gt;=1,Premissas!$F$52*(1-Premissas!$B$35)/10,0)</f>
        <v>-1505350</v>
      </c>
      <c r="M513" s="36" t="n">
        <f aca="false">-IF(M$497&gt;=1,Premissas!$F$52*(1-Premissas!$B$35)/10,0)</f>
        <v>-1505350</v>
      </c>
      <c r="N513" s="36" t="n">
        <f aca="false">-IF(N$497&gt;=1,Premissas!$F$52*(1-Premissas!$B$35)/10,0)</f>
        <v>-1505350</v>
      </c>
      <c r="O513" s="36" t="n">
        <f aca="false">-IF(O$497&gt;=1,Premissas!$F$52*(1-Premissas!$B$35)/10,0)</f>
        <v>-1505350</v>
      </c>
      <c r="P513" s="3"/>
    </row>
    <row r="514" customFormat="false" ht="15" hidden="false" customHeight="false" outlineLevel="0" collapsed="false">
      <c r="A514" s="3"/>
      <c r="B514" s="14" t="s">
        <v>415</v>
      </c>
      <c r="C514" s="40" t="n">
        <f aca="false">C511+C513</f>
        <v>0</v>
      </c>
      <c r="D514" s="40" t="n">
        <f aca="false">D511+D513</f>
        <v>0</v>
      </c>
      <c r="E514" s="40" t="n">
        <f aca="false">E511+E513</f>
        <v>0</v>
      </c>
      <c r="F514" s="40" t="n">
        <f aca="false">F511+F513</f>
        <v>-3027517.20434783</v>
      </c>
      <c r="G514" s="40" t="n">
        <f aca="false">G511+G513</f>
        <v>-2800208.78330435</v>
      </c>
      <c r="H514" s="40" t="n">
        <f aca="false">H511+H513</f>
        <v>-2849346.32580348</v>
      </c>
      <c r="I514" s="40" t="n">
        <f aca="false">I511+I513</f>
        <v>-2900215.28905258</v>
      </c>
      <c r="J514" s="40" t="n">
        <f aca="false">J511+J513</f>
        <v>-2952874.04803604</v>
      </c>
      <c r="K514" s="40" t="n">
        <f aca="false">K511+K513</f>
        <v>-3007382.88979679</v>
      </c>
      <c r="L514" s="40" t="n">
        <f aca="false">L511+L513</f>
        <v>-3063804.07481836</v>
      </c>
      <c r="M514" s="40" t="n">
        <f aca="false">M511+M513</f>
        <v>-3122201.90034876</v>
      </c>
      <c r="N514" s="40" t="n">
        <f aca="false">N511+N513</f>
        <v>-3182642.76572723</v>
      </c>
      <c r="O514" s="40" t="n">
        <f aca="false">O511+O513</f>
        <v>-3245195.23977625</v>
      </c>
      <c r="P514" s="3"/>
    </row>
    <row r="515" customFormat="false" ht="15" hidden="false" customHeight="false" outlineLevel="0" collapsed="false">
      <c r="A515" s="3"/>
      <c r="B515" s="4" t="s">
        <v>416</v>
      </c>
      <c r="C515" s="36" t="n">
        <f aca="false">-MAX(0,C514)*Premissas!$B$11</f>
        <v>-0</v>
      </c>
      <c r="D515" s="36" t="n">
        <f aca="false">-MAX(0,D514)*Premissas!$B$11</f>
        <v>-0</v>
      </c>
      <c r="E515" s="36" t="n">
        <f aca="false">-MAX(0,E514)*Premissas!$B$11</f>
        <v>-0</v>
      </c>
      <c r="F515" s="36" t="n">
        <f aca="false">-MAX(0,F514)*Premissas!$B$11</f>
        <v>-0</v>
      </c>
      <c r="G515" s="36" t="n">
        <f aca="false">-MAX(0,G514)*Premissas!$B$11</f>
        <v>-0</v>
      </c>
      <c r="H515" s="36" t="n">
        <f aca="false">-MAX(0,H514)*Premissas!$B$11</f>
        <v>-0</v>
      </c>
      <c r="I515" s="36" t="n">
        <f aca="false">-MAX(0,I514)*Premissas!$B$11</f>
        <v>-0</v>
      </c>
      <c r="J515" s="36" t="n">
        <f aca="false">-MAX(0,J514)*Premissas!$B$11</f>
        <v>-0</v>
      </c>
      <c r="K515" s="36" t="n">
        <f aca="false">-MAX(0,K514)*Premissas!$B$11</f>
        <v>-0</v>
      </c>
      <c r="L515" s="36" t="n">
        <f aca="false">-MAX(0,L514)*Premissas!$B$11</f>
        <v>-0</v>
      </c>
      <c r="M515" s="36" t="n">
        <f aca="false">-MAX(0,M514)*Premissas!$B$11</f>
        <v>-0</v>
      </c>
      <c r="N515" s="36" t="n">
        <f aca="false">-MAX(0,N514)*Premissas!$B$11</f>
        <v>-0</v>
      </c>
      <c r="O515" s="36" t="n">
        <f aca="false">-MAX(0,O514)*Premissas!$B$11</f>
        <v>-0</v>
      </c>
      <c r="P515" s="3"/>
    </row>
    <row r="516" customFormat="false" ht="15" hidden="false" customHeight="false" outlineLevel="0" collapsed="false">
      <c r="A516" s="3"/>
      <c r="B516" s="4" t="s">
        <v>417</v>
      </c>
      <c r="C516" s="36" t="n">
        <f aca="false">-(IF(C$497=3,Premissas!$F$80,0)+IF(C$497=5,Premissas!$F$81,0)+IF(C$497=8,Premissas!$F$82,0)+IF(C$497=10,Premissas!$F$83,0))*C503</f>
        <v>-0</v>
      </c>
      <c r="D516" s="36" t="n">
        <f aca="false">-(IF(D$497=3,Premissas!$F$80,0)+IF(D$497=5,Premissas!$F$81,0)+IF(D$497=8,Premissas!$F$82,0)+IF(D$497=10,Premissas!$F$83,0))*D503</f>
        <v>-0</v>
      </c>
      <c r="E516" s="36" t="n">
        <f aca="false">-(IF(E$497=3,Premissas!$F$80,0)+IF(E$497=5,Premissas!$F$81,0)+IF(E$497=8,Premissas!$F$82,0)+IF(E$497=10,Premissas!$F$83,0))*E503</f>
        <v>-0</v>
      </c>
      <c r="F516" s="36" t="n">
        <f aca="false">-(IF(F$497=3,Premissas!$F$80,0)+IF(F$497=5,Premissas!$F$81,0)+IF(F$497=8,Premissas!$F$82,0)+IF(F$497=10,Premissas!$F$83,0))*F503</f>
        <v>-0</v>
      </c>
      <c r="G516" s="36" t="n">
        <f aca="false">-(IF(G$497=3,Premissas!$F$80,0)+IF(G$497=5,Premissas!$F$81,0)+IF(G$497=8,Premissas!$F$82,0)+IF(G$497=10,Premissas!$F$83,0))*G503</f>
        <v>-0</v>
      </c>
      <c r="H516" s="36" t="n">
        <f aca="false">-(IF(H$497=3,Premissas!$F$80,0)+IF(H$497=5,Premissas!$F$81,0)+IF(H$497=8,Premissas!$F$82,0)+IF(H$497=10,Premissas!$F$83,0))*H503</f>
        <v>-233398</v>
      </c>
      <c r="I516" s="36" t="n">
        <f aca="false">-(IF(I$497=3,Premissas!$F$80,0)+IF(I$497=5,Premissas!$F$81,0)+IF(I$497=8,Premissas!$F$82,0)+IF(I$497=10,Premissas!$F$83,0))*I503</f>
        <v>-0</v>
      </c>
      <c r="J516" s="36" t="n">
        <f aca="false">-(IF(J$497=3,Premissas!$F$80,0)+IF(J$497=5,Premissas!$F$81,0)+IF(J$497=8,Premissas!$F$82,0)+IF(J$497=10,Premissas!$F$83,0))*J503</f>
        <v>-562754.405</v>
      </c>
      <c r="K516" s="36" t="n">
        <f aca="false">-(IF(K$497=3,Premissas!$F$80,0)+IF(K$497=5,Premissas!$F$81,0)+IF(K$497=8,Premissas!$F$82,0)+IF(K$497=10,Premissas!$F$83,0))*K503</f>
        <v>-0</v>
      </c>
      <c r="L516" s="36" t="n">
        <f aca="false">-(IF(L$497=3,Premissas!$F$80,0)+IF(L$497=5,Premissas!$F$81,0)+IF(L$497=8,Premissas!$F$82,0)+IF(L$497=10,Premissas!$F$83,0))*L503</f>
        <v>-0</v>
      </c>
      <c r="M516" s="36" t="n">
        <f aca="false">-(IF(M$497=3,Premissas!$F$80,0)+IF(M$497=5,Premissas!$F$81,0)+IF(M$497=8,Premissas!$F$82,0)+IF(M$497=10,Premissas!$F$83,0))*M503</f>
        <v>-307468.466356218</v>
      </c>
      <c r="N516" s="36" t="n">
        <f aca="false">-(IF(N$497=3,Premissas!$F$80,0)+IF(N$497=5,Premissas!$F$81,0)+IF(N$497=8,Premissas!$F$82,0)+IF(N$497=10,Premissas!$F$83,0))*N503</f>
        <v>-0</v>
      </c>
      <c r="O516" s="36" t="n">
        <f aca="false">-(IF(O$497=3,Premissas!$F$80,0)+IF(O$497=5,Premissas!$F$81,0)+IF(O$497=8,Premissas!$F$82,0)+IF(O$497=10,Premissas!$F$83,0))*O503</f>
        <v>-782863.910297547</v>
      </c>
      <c r="P516" s="3"/>
    </row>
    <row r="517" customFormat="false" ht="15" hidden="false" customHeight="false" outlineLevel="0" collapsed="false">
      <c r="A517" s="3"/>
      <c r="B517" s="4" t="s">
        <v>418</v>
      </c>
      <c r="C517" s="36" t="n">
        <f aca="false">-IF(C$497&gt;=1,Premissas!$F$52*(Premissas!$F$84+IF(C$497=6,Premissas!$F$85,0))*C503,0)</f>
        <v>-0</v>
      </c>
      <c r="D517" s="36" t="n">
        <f aca="false">-IF(D$497&gt;=1,Premissas!$F$52*(Premissas!$F$84+IF(D$497=6,Premissas!$F$85,0))*D503,0)</f>
        <v>-0</v>
      </c>
      <c r="E517" s="36" t="n">
        <f aca="false">-IF(E$497&gt;=1,Premissas!$F$52*(Premissas!$F$84+IF(E$497=6,Premissas!$F$85,0))*E503,0)</f>
        <v>-0</v>
      </c>
      <c r="F517" s="36" t="n">
        <f aca="false">-IF(F$497&gt;=1,Premissas!$F$52*(Premissas!$F$84+IF(F$497=6,Premissas!$F$85,0))*F503,0)</f>
        <v>-136850</v>
      </c>
      <c r="G517" s="36" t="n">
        <f aca="false">-IF(G$497&gt;=1,Premissas!$F$52*(Premissas!$F$84+IF(G$497=6,Premissas!$F$85,0))*G503,0)</f>
        <v>-140955.5</v>
      </c>
      <c r="H517" s="36" t="n">
        <f aca="false">-IF(H$497&gt;=1,Premissas!$F$52*(Premissas!$F$84+IF(H$497=6,Premissas!$F$85,0))*H503,0)</f>
        <v>-145184.165</v>
      </c>
      <c r="I517" s="36" t="n">
        <f aca="false">-IF(I$497&gt;=1,Premissas!$F$52*(Premissas!$F$84+IF(I$497=6,Premissas!$F$85,0))*I503,0)</f>
        <v>-149539.68995</v>
      </c>
      <c r="J517" s="36" t="n">
        <f aca="false">-IF(J$497&gt;=1,Premissas!$F$52*(Premissas!$F$84+IF(J$497=6,Premissas!$F$85,0))*J503,0)</f>
        <v>-154025.8806485</v>
      </c>
      <c r="K517" s="36" t="n">
        <f aca="false">-IF(K$497&gt;=1,Premissas!$F$52*(Premissas!$F$84+IF(K$497=6,Premissas!$F$85,0))*K503,0)</f>
        <v>-1427819.9136116</v>
      </c>
      <c r="L517" s="36" t="n">
        <f aca="false">-IF(L$497&gt;=1,Premissas!$F$52*(Premissas!$F$84+IF(L$497=6,Premissas!$F$85,0))*L503,0)</f>
        <v>-163406.056779994</v>
      </c>
      <c r="M517" s="36" t="n">
        <f aca="false">-IF(M$497&gt;=1,Premissas!$F$52*(Premissas!$F$84+IF(M$497=6,Premissas!$F$85,0))*M503,0)</f>
        <v>-168308.238483393</v>
      </c>
      <c r="N517" s="36" t="n">
        <f aca="false">-IF(N$497&gt;=1,Premissas!$F$52*(Premissas!$F$84+IF(N$497=6,Premissas!$F$85,0))*N503,0)</f>
        <v>-173357.485637895</v>
      </c>
      <c r="O517" s="36" t="n">
        <f aca="false">-IF(O$497&gt;=1,Premissas!$F$52*(Premissas!$F$84+IF(O$497=6,Premissas!$F$85,0))*O503,0)</f>
        <v>-178558.210207032</v>
      </c>
      <c r="P517" s="3"/>
    </row>
    <row r="518" customFormat="false" ht="15" hidden="false" customHeight="false" outlineLevel="0" collapsed="false">
      <c r="A518" s="3"/>
      <c r="B518" s="4" t="s">
        <v>419</v>
      </c>
      <c r="C518" s="36" t="n">
        <f aca="false">-Premissas!$F$52*Premissas!$F$53</f>
        <v>-5474000</v>
      </c>
      <c r="D518" s="36" t="n">
        <f aca="false">-Premissas!$F$52*Premissas!$F$54</f>
        <v>-5474000</v>
      </c>
      <c r="E518" s="36" t="n">
        <f aca="false">-Premissas!$F$52*Premissas!$F$55</f>
        <v>-16422000</v>
      </c>
      <c r="F518" s="36" t="n">
        <v>0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0</v>
      </c>
      <c r="L518" s="36" t="n">
        <v>0</v>
      </c>
      <c r="M518" s="36" t="n">
        <v>0</v>
      </c>
      <c r="N518" s="36" t="n">
        <v>0</v>
      </c>
      <c r="O518" s="36" t="n">
        <v>0</v>
      </c>
      <c r="P518" s="3"/>
    </row>
    <row r="519" customFormat="false" ht="15" hidden="false" customHeight="false" outlineLevel="0" collapsed="false">
      <c r="A519" s="3"/>
      <c r="B519" s="4" t="s">
        <v>420</v>
      </c>
      <c r="C519" s="36" t="n">
        <f aca="false">IF(C$497=10,Premissas!$F$52*Premissas!$B$35,0)</f>
        <v>0</v>
      </c>
      <c r="D519" s="36" t="n">
        <f aca="false">IF(D$497=10,Premissas!$F$52*Premissas!$B$35,0)</f>
        <v>0</v>
      </c>
      <c r="E519" s="36" t="n">
        <f aca="false">IF(E$497=10,Premissas!$F$52*Premissas!$B$35,0)</f>
        <v>0</v>
      </c>
      <c r="F519" s="36" t="n">
        <f aca="false">IF(F$497=10,Premissas!$F$52*Premissas!$B$35,0)</f>
        <v>0</v>
      </c>
      <c r="G519" s="36" t="n">
        <f aca="false">IF(G$497=10,Premissas!$F$52*Premissas!$B$35,0)</f>
        <v>0</v>
      </c>
      <c r="H519" s="36" t="n">
        <f aca="false">IF(H$497=10,Premissas!$F$52*Premissas!$B$35,0)</f>
        <v>0</v>
      </c>
      <c r="I519" s="36" t="n">
        <f aca="false">IF(I$497=10,Premissas!$F$52*Premissas!$B$35,0)</f>
        <v>0</v>
      </c>
      <c r="J519" s="36" t="n">
        <f aca="false">IF(J$497=10,Premissas!$F$52*Premissas!$B$35,0)</f>
        <v>0</v>
      </c>
      <c r="K519" s="36" t="n">
        <f aca="false">IF(K$497=10,Premissas!$F$52*Premissas!$B$35,0)</f>
        <v>0</v>
      </c>
      <c r="L519" s="36" t="n">
        <f aca="false">IF(L$497=10,Premissas!$F$52*Premissas!$B$35,0)</f>
        <v>0</v>
      </c>
      <c r="M519" s="36" t="n">
        <f aca="false">IF(M$497=10,Premissas!$F$52*Premissas!$B$35,0)</f>
        <v>0</v>
      </c>
      <c r="N519" s="36" t="n">
        <f aca="false">IF(N$497=10,Premissas!$F$52*Premissas!$B$35,0)</f>
        <v>0</v>
      </c>
      <c r="O519" s="36" t="n">
        <f aca="false">IF(O$497=10,Premissas!$F$52*Premissas!$B$35,0)</f>
        <v>12316500</v>
      </c>
      <c r="P519" s="3"/>
    </row>
    <row r="520" customFormat="false" ht="15" hidden="false" customHeight="false" outlineLevel="0" collapsed="false">
      <c r="A520" s="3"/>
      <c r="B520" s="14" t="s">
        <v>421</v>
      </c>
      <c r="C520" s="33" t="n">
        <f aca="false">C511+C515+C516+C517+C518+C519</f>
        <v>-5474000</v>
      </c>
      <c r="D520" s="33" t="n">
        <f aca="false">D511+D515+D516+D517+D518+D519</f>
        <v>-5474000</v>
      </c>
      <c r="E520" s="33" t="n">
        <f aca="false">E511+E515+E516+E517+E518+E519</f>
        <v>-16422000</v>
      </c>
      <c r="F520" s="33" t="n">
        <f aca="false">F511+F515+F516+F517+F518+F519</f>
        <v>-1659017.20434783</v>
      </c>
      <c r="G520" s="33" t="n">
        <f aca="false">G511+G515+G516+G517+G518+G519</f>
        <v>-1435814.28330435</v>
      </c>
      <c r="H520" s="33" t="n">
        <f aca="false">H511+H515+H516+H517+H518+H519</f>
        <v>-1722578.49080348</v>
      </c>
      <c r="I520" s="33" t="n">
        <f aca="false">I511+I515+I516+I517+I518+I519</f>
        <v>-1544404.97900258</v>
      </c>
      <c r="J520" s="33" t="n">
        <f aca="false">J511+J515+J516+J517+J518+J519</f>
        <v>-2164304.33368454</v>
      </c>
      <c r="K520" s="33" t="n">
        <f aca="false">K511+K515+K516+K517+K518+K519</f>
        <v>-2929852.80340839</v>
      </c>
      <c r="L520" s="33" t="n">
        <f aca="false">L511+L515+L516+L517+L518+L519</f>
        <v>-1721860.13159835</v>
      </c>
      <c r="M520" s="33" t="n">
        <f aca="false">M511+M515+M516+M517+M518+M519</f>
        <v>-2092628.60518837</v>
      </c>
      <c r="N520" s="33" t="n">
        <f aca="false">N511+N515+N516+N517+N518+N519</f>
        <v>-1850650.25136512</v>
      </c>
      <c r="O520" s="33" t="n">
        <f aca="false">O511+O515+O516+O517+O518+O519</f>
        <v>9615232.63971917</v>
      </c>
      <c r="P520" s="3"/>
    </row>
    <row r="521" customFormat="false" ht="15" hidden="false" customHeight="false" outlineLevel="0" collapsed="false">
      <c r="A521" s="3"/>
      <c r="B521" s="4" t="s">
        <v>422</v>
      </c>
      <c r="C521" s="36" t="n">
        <f aca="false">C520-C519</f>
        <v>-5474000</v>
      </c>
      <c r="D521" s="36" t="n">
        <f aca="false">C521+D520-D519</f>
        <v>-10948000</v>
      </c>
      <c r="E521" s="36" t="n">
        <f aca="false">D521+E520-E519</f>
        <v>-27370000</v>
      </c>
      <c r="F521" s="36" t="n">
        <f aca="false">E521+F520-F519</f>
        <v>-29029017.2043478</v>
      </c>
      <c r="G521" s="36" t="n">
        <f aca="false">F521+G520-G519</f>
        <v>-30464831.4876522</v>
      </c>
      <c r="H521" s="36" t="n">
        <f aca="false">G521+H520-H519</f>
        <v>-32187409.9784557</v>
      </c>
      <c r="I521" s="36" t="n">
        <f aca="false">H521+I520-I519</f>
        <v>-33731814.9574582</v>
      </c>
      <c r="J521" s="36" t="n">
        <f aca="false">I521+J520-J519</f>
        <v>-35896119.2911428</v>
      </c>
      <c r="K521" s="36" t="n">
        <f aca="false">J521+K520-K519</f>
        <v>-38825972.0945512</v>
      </c>
      <c r="L521" s="36" t="n">
        <f aca="false">K521+L520-L519</f>
        <v>-40547832.2261495</v>
      </c>
      <c r="M521" s="36" t="n">
        <f aca="false">L521+M520-M519</f>
        <v>-42640460.8313379</v>
      </c>
      <c r="N521" s="36" t="n">
        <f aca="false">M521+N520-N519</f>
        <v>-44491111.082703</v>
      </c>
      <c r="O521" s="36" t="n">
        <f aca="false">N521+O520-O519</f>
        <v>-47192378.4429838</v>
      </c>
      <c r="P521" s="3"/>
    </row>
    <row r="522" customFormat="false" ht="15" hidden="false" customHeight="false" outlineLevel="0" collapsed="false">
      <c r="A522" s="3"/>
      <c r="B522" s="6" t="s">
        <v>423</v>
      </c>
      <c r="C522" s="46" t="n">
        <v>0</v>
      </c>
      <c r="D522" s="46" t="n">
        <v>0</v>
      </c>
      <c r="E522" s="46" t="n">
        <v>0</v>
      </c>
      <c r="F522" s="46" t="n">
        <f aca="false">IF(AND(E521&lt;0,F521&gt;=0),F$497-1+(-E521)/(F520-F519),0)</f>
        <v>0</v>
      </c>
      <c r="G522" s="46" t="n">
        <f aca="false">IF(AND(F521&lt;0,G521&gt;=0),G$497-1+(-F521)/(G520-G519),0)</f>
        <v>0</v>
      </c>
      <c r="H522" s="46" t="n">
        <f aca="false">IF(AND(G521&lt;0,H521&gt;=0),H$497-1+(-G521)/(H520-H519),0)</f>
        <v>0</v>
      </c>
      <c r="I522" s="46" t="n">
        <f aca="false">IF(AND(H521&lt;0,I521&gt;=0),I$497-1+(-H521)/(I520-I519),0)</f>
        <v>0</v>
      </c>
      <c r="J522" s="46" t="n">
        <f aca="false">IF(AND(I521&lt;0,J521&gt;=0),J$497-1+(-I521)/(J520-J519),0)</f>
        <v>0</v>
      </c>
      <c r="K522" s="46" t="n">
        <f aca="false">IF(AND(J521&lt;0,K521&gt;=0),K$497-1+(-J521)/(K520-K519),0)</f>
        <v>0</v>
      </c>
      <c r="L522" s="46" t="n">
        <f aca="false">IF(AND(K521&lt;0,L521&gt;=0),L$497-1+(-K521)/(L520-L519),0)</f>
        <v>0</v>
      </c>
      <c r="M522" s="46" t="n">
        <f aca="false">IF(AND(L521&lt;0,M521&gt;=0),M$497-1+(-L521)/(M520-M519),0)</f>
        <v>0</v>
      </c>
      <c r="N522" s="46" t="n">
        <f aca="false">IF(AND(M521&lt;0,N521&gt;=0),N$497-1+(-M521)/(N520-N519),0)</f>
        <v>0</v>
      </c>
      <c r="O522" s="46" t="n">
        <f aca="false">IF(AND(N521&lt;0,O521&gt;=0),O$497-1+(-N521)/(O520-O519),0)</f>
        <v>0</v>
      </c>
      <c r="P522" s="3"/>
    </row>
    <row r="523" customFormat="false" ht="15" hidden="false" customHeight="false" outlineLevel="0" collapsed="false">
      <c r="A523" s="3"/>
      <c r="B523" s="14" t="s">
        <v>424</v>
      </c>
      <c r="C523" s="47" t="str">
        <f aca="false">IFERROR(IRR(C520:O520,0.05),IFERROR(IRR(C520:O520,-0.05),IF(SUM(C520:O520)&lt;0,"negativa","n/d")))</f>
        <v>negativa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customFormat="false" ht="15" hidden="false" customHeight="false" outlineLevel="0" collapsed="false">
      <c r="A524" s="3"/>
      <c r="B524" s="14" t="s">
        <v>425</v>
      </c>
      <c r="C524" s="48" t="n">
        <f aca="false">C520*(1+Premissas!$B$10)^2+D520*(1+Premissas!$B$10)+E520+NPV(Premissas!$B$10,F520:O520)</f>
        <v>-36046078.3038124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customFormat="false" ht="15" hidden="false" customHeight="false" outlineLevel="0" collapsed="false">
      <c r="A525" s="3"/>
      <c r="B525" s="14" t="s">
        <v>426</v>
      </c>
      <c r="C525" s="49" t="str">
        <f aca="false">IF(SUM(F522:O522)=0,"&gt; 10",SUM(F522:O522))</f>
        <v>&gt; 10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customFormat="false" ht="15" hidden="false" customHeight="false" outlineLevel="0" collapsed="false">
      <c r="A526" s="3"/>
      <c r="B526" s="14" t="s">
        <v>427</v>
      </c>
      <c r="C526" s="47" t="n">
        <f aca="false">SUM(C520:O520)/-SUM(C518:E518)</f>
        <v>-1.27423742941117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customFormat="false" ht="15" hidden="false" customHeight="false" outlineLevel="0" collapsed="false">
      <c r="A527" s="3"/>
      <c r="B527" s="14" t="s">
        <v>428</v>
      </c>
      <c r="C527" s="47" t="n">
        <f aca="false">AVERAGE(F514:O514)*(1-Premissas!$B$11)/-SUM(C518:E518)</f>
        <v>-0.0727070384503752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customFormat="false" ht="15" hidden="false" customHeight="false" outlineLevel="0" collapsed="false">
      <c r="A528" s="3"/>
      <c r="B528" s="14" t="s">
        <v>429</v>
      </c>
      <c r="C528" s="48" t="n">
        <f aca="false">H511</f>
        <v>-1343996.32580348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customFormat="false" ht="15" hidden="false" customHeight="false" outlineLevel="0" collapsed="false">
      <c r="A529" s="3"/>
      <c r="B529" s="14" t="s">
        <v>430</v>
      </c>
      <c r="C529" s="48" t="n">
        <f aca="false">H508</f>
        <v>2109814.695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customFormat="false" ht="15" hidden="false" customHeight="false" outlineLevel="0" collapsed="false">
      <c r="A530" s="3"/>
      <c r="B530" s="14" t="s">
        <v>431</v>
      </c>
      <c r="C530" s="47" t="n">
        <f aca="false">H512</f>
        <v>-0.637021027955007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customFormat="false" ht="15" hidden="false" customHeight="false" outlineLevel="0" collapsed="false">
      <c r="A531" s="3"/>
      <c r="B531" s="14" t="s">
        <v>432</v>
      </c>
      <c r="C531" s="48" t="n">
        <f aca="false">-(H509+H510)</f>
        <v>3453811.02080348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customFormat="false" ht="15" hidden="false" customHeight="false" outlineLevel="0" collapsed="false">
      <c r="A532" s="3"/>
      <c r="B532" s="14" t="s">
        <v>433</v>
      </c>
      <c r="C532" s="50" t="n">
        <f aca="false">IFERROR(-H510/((H508+H509)/H498),"n/d")</f>
        <v>42.1517726873709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customFormat="false" ht="15" hidden="false" customHeight="false" outlineLevel="0" collapsed="false">
      <c r="A533" s="3"/>
      <c r="B533" s="14" t="s">
        <v>434</v>
      </c>
      <c r="C533" s="48" t="n">
        <f aca="false">-SUM(C518:E518)</f>
        <v>27370000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customFormat="false" ht="15" hidden="false" customHeight="false" outlineLevel="0" collapsed="false">
      <c r="A534" s="3"/>
      <c r="B534" s="14" t="s">
        <v>435</v>
      </c>
      <c r="C534" s="48" t="n">
        <f aca="false">O519</f>
        <v>12316500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customFormat="false" ht="15" hidden="false" customHeight="false" outlineLevel="0" collapsed="false">
      <c r="A537" s="3"/>
      <c r="B537" s="19" t="s">
        <v>448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customFormat="false" ht="15" hidden="false" customHeight="false" outlineLevel="0" collapsed="false">
      <c r="A538" s="3"/>
      <c r="B538" s="14" t="s">
        <v>398</v>
      </c>
      <c r="C538" s="44" t="n">
        <v>-2</v>
      </c>
      <c r="D538" s="44" t="n">
        <v>-1</v>
      </c>
      <c r="E538" s="44" t="n">
        <v>0</v>
      </c>
      <c r="F538" s="44" t="n">
        <v>1</v>
      </c>
      <c r="G538" s="44" t="n">
        <v>2</v>
      </c>
      <c r="H538" s="44" t="n">
        <v>3</v>
      </c>
      <c r="I538" s="44" t="n">
        <v>4</v>
      </c>
      <c r="J538" s="44" t="n">
        <v>5</v>
      </c>
      <c r="K538" s="44" t="n">
        <v>6</v>
      </c>
      <c r="L538" s="44" t="n">
        <v>7</v>
      </c>
      <c r="M538" s="44" t="n">
        <v>8</v>
      </c>
      <c r="N538" s="44" t="n">
        <v>9</v>
      </c>
      <c r="O538" s="44" t="n">
        <v>10</v>
      </c>
      <c r="P538" s="3"/>
    </row>
    <row r="539" customFormat="false" ht="15" hidden="false" customHeight="false" outlineLevel="0" collapsed="false">
      <c r="A539" s="3"/>
      <c r="B539" s="4" t="s">
        <v>399</v>
      </c>
      <c r="C539" s="39" t="n">
        <f aca="false">IF(C$538&gt;=1,Premissas!$C$29*IF(C$538=1,Premissas!$C$37,1),0)</f>
        <v>0</v>
      </c>
      <c r="D539" s="39" t="n">
        <f aca="false">IF(D$538&gt;=1,Premissas!$C$29*IF(D$538=1,Premissas!$C$37,1),0)</f>
        <v>0</v>
      </c>
      <c r="E539" s="39" t="n">
        <f aca="false">IF(E$538&gt;=1,Premissas!$C$29*IF(E$538=1,Premissas!$C$37,1),0)</f>
        <v>0</v>
      </c>
      <c r="F539" s="39" t="n">
        <f aca="false">IF(F$538&gt;=1,Premissas!$C$29*IF(F$538=1,Premissas!$C$37,1),0)</f>
        <v>22.1</v>
      </c>
      <c r="G539" s="39" t="n">
        <f aca="false">IF(G$538&gt;=1,Premissas!$C$29*IF(G$538=1,Premissas!$C$37,1),0)</f>
        <v>26</v>
      </c>
      <c r="H539" s="39" t="n">
        <f aca="false">IF(H$538&gt;=1,Premissas!$C$29*IF(H$538=1,Premissas!$C$37,1),0)</f>
        <v>26</v>
      </c>
      <c r="I539" s="39" t="n">
        <f aca="false">IF(I$538&gt;=1,Premissas!$C$29*IF(I$538=1,Premissas!$C$37,1),0)</f>
        <v>26</v>
      </c>
      <c r="J539" s="39" t="n">
        <f aca="false">IF(J$538&gt;=1,Premissas!$C$29*IF(J$538=1,Premissas!$C$37,1),0)</f>
        <v>26</v>
      </c>
      <c r="K539" s="39" t="n">
        <f aca="false">IF(K$538&gt;=1,Premissas!$C$29*IF(K$538=1,Premissas!$C$37,1),0)</f>
        <v>26</v>
      </c>
      <c r="L539" s="39" t="n">
        <f aca="false">IF(L$538&gt;=1,Premissas!$C$29*IF(L$538=1,Premissas!$C$37,1),0)</f>
        <v>26</v>
      </c>
      <c r="M539" s="39" t="n">
        <f aca="false">IF(M$538&gt;=1,Premissas!$C$29*IF(M$538=1,Premissas!$C$37,1),0)</f>
        <v>26</v>
      </c>
      <c r="N539" s="39" t="n">
        <f aca="false">IF(N$538&gt;=1,Premissas!$C$29*IF(N$538=1,Premissas!$C$37,1),0)</f>
        <v>26</v>
      </c>
      <c r="O539" s="39" t="n">
        <f aca="false">IF(O$538&gt;=1,Premissas!$C$29*IF(O$538=1,Premissas!$C$37,1),0)</f>
        <v>26</v>
      </c>
      <c r="P539" s="3"/>
    </row>
    <row r="540" customFormat="false" ht="15" hidden="false" customHeight="false" outlineLevel="0" collapsed="false">
      <c r="A540" s="3"/>
      <c r="B540" s="4" t="s">
        <v>400</v>
      </c>
      <c r="C540" s="39" t="n">
        <f aca="false">MIN(C539,Premissas!$C$30)</f>
        <v>0</v>
      </c>
      <c r="D540" s="39" t="n">
        <f aca="false">MIN(D539,Premissas!$C$30)</f>
        <v>0</v>
      </c>
      <c r="E540" s="39" t="n">
        <f aca="false">MIN(E539,Premissas!$C$30)</f>
        <v>0</v>
      </c>
      <c r="F540" s="39" t="n">
        <f aca="false">MIN(F539,Premissas!$C$30)</f>
        <v>8</v>
      </c>
      <c r="G540" s="39" t="n">
        <f aca="false">MIN(G539,Premissas!$C$30)</f>
        <v>8</v>
      </c>
      <c r="H540" s="39" t="n">
        <f aca="false">MIN(H539,Premissas!$C$30)</f>
        <v>8</v>
      </c>
      <c r="I540" s="39" t="n">
        <f aca="false">MIN(I539,Premissas!$C$30)</f>
        <v>8</v>
      </c>
      <c r="J540" s="39" t="n">
        <f aca="false">MIN(J539,Premissas!$C$30)</f>
        <v>8</v>
      </c>
      <c r="K540" s="39" t="n">
        <f aca="false">MIN(K539,Premissas!$C$30)</f>
        <v>8</v>
      </c>
      <c r="L540" s="39" t="n">
        <f aca="false">MIN(L539,Premissas!$C$30)</f>
        <v>8</v>
      </c>
      <c r="M540" s="39" t="n">
        <f aca="false">MIN(M539,Premissas!$C$30)</f>
        <v>8</v>
      </c>
      <c r="N540" s="39" t="n">
        <f aca="false">MIN(N539,Premissas!$C$30)</f>
        <v>8</v>
      </c>
      <c r="O540" s="39" t="n">
        <f aca="false">MIN(O539,Premissas!$C$30)</f>
        <v>8</v>
      </c>
      <c r="P540" s="3"/>
    </row>
    <row r="541" customFormat="false" ht="15" hidden="false" customHeight="false" outlineLevel="0" collapsed="false">
      <c r="A541" s="3"/>
      <c r="B541" s="4" t="s">
        <v>401</v>
      </c>
      <c r="C541" s="39" t="n">
        <f aca="false">MIN(C539-C540,Premissas!$C$31)</f>
        <v>0</v>
      </c>
      <c r="D541" s="39" t="n">
        <f aca="false">MIN(D539-D540,Premissas!$C$31)</f>
        <v>0</v>
      </c>
      <c r="E541" s="39" t="n">
        <f aca="false">MIN(E539-E540,Premissas!$C$31)</f>
        <v>0</v>
      </c>
      <c r="F541" s="39" t="n">
        <f aca="false">MIN(F539-F540,Premissas!$C$31)</f>
        <v>4</v>
      </c>
      <c r="G541" s="39" t="n">
        <f aca="false">MIN(G539-G540,Premissas!$C$31)</f>
        <v>4</v>
      </c>
      <c r="H541" s="39" t="n">
        <f aca="false">MIN(H539-H540,Premissas!$C$31)</f>
        <v>4</v>
      </c>
      <c r="I541" s="39" t="n">
        <f aca="false">MIN(I539-I540,Premissas!$C$31)</f>
        <v>4</v>
      </c>
      <c r="J541" s="39" t="n">
        <f aca="false">MIN(J539-J540,Premissas!$C$31)</f>
        <v>4</v>
      </c>
      <c r="K541" s="39" t="n">
        <f aca="false">MIN(K539-K540,Premissas!$C$31)</f>
        <v>4</v>
      </c>
      <c r="L541" s="39" t="n">
        <f aca="false">MIN(L539-L540,Premissas!$C$31)</f>
        <v>4</v>
      </c>
      <c r="M541" s="39" t="n">
        <f aca="false">MIN(M539-M540,Premissas!$C$31)</f>
        <v>4</v>
      </c>
      <c r="N541" s="39" t="n">
        <f aca="false">MIN(N539-N540,Premissas!$C$31)</f>
        <v>4</v>
      </c>
      <c r="O541" s="39" t="n">
        <f aca="false">MIN(O539-O540,Premissas!$C$31)</f>
        <v>4</v>
      </c>
      <c r="P541" s="3"/>
    </row>
    <row r="542" customFormat="false" ht="15" hidden="false" customHeight="false" outlineLevel="0" collapsed="false">
      <c r="A542" s="3"/>
      <c r="B542" s="4" t="s">
        <v>402</v>
      </c>
      <c r="C542" s="39" t="n">
        <f aca="false">C539-C540-C541</f>
        <v>0</v>
      </c>
      <c r="D542" s="39" t="n">
        <f aca="false">D539-D540-D541</f>
        <v>0</v>
      </c>
      <c r="E542" s="39" t="n">
        <f aca="false">E539-E540-E541</f>
        <v>0</v>
      </c>
      <c r="F542" s="39" t="n">
        <f aca="false">F539-F540-F541</f>
        <v>10.1</v>
      </c>
      <c r="G542" s="39" t="n">
        <f aca="false">G539-G540-G541</f>
        <v>14</v>
      </c>
      <c r="H542" s="39" t="n">
        <f aca="false">H539-H540-H541</f>
        <v>14</v>
      </c>
      <c r="I542" s="39" t="n">
        <f aca="false">I539-I540-I541</f>
        <v>14</v>
      </c>
      <c r="J542" s="39" t="n">
        <f aca="false">J539-J540-J541</f>
        <v>14</v>
      </c>
      <c r="K542" s="39" t="n">
        <f aca="false">K539-K540-K541</f>
        <v>14</v>
      </c>
      <c r="L542" s="39" t="n">
        <f aca="false">L539-L540-L541</f>
        <v>14</v>
      </c>
      <c r="M542" s="39" t="n">
        <f aca="false">M539-M540-M541</f>
        <v>14</v>
      </c>
      <c r="N542" s="39" t="n">
        <f aca="false">N539-N540-N541</f>
        <v>14</v>
      </c>
      <c r="O542" s="39" t="n">
        <f aca="false">O539-O540-O541</f>
        <v>14</v>
      </c>
      <c r="P542" s="3"/>
    </row>
    <row r="543" customFormat="false" ht="15" hidden="false" customHeight="false" outlineLevel="0" collapsed="false">
      <c r="A543" s="3"/>
      <c r="B543" s="4" t="s">
        <v>403</v>
      </c>
      <c r="C543" s="45" t="n">
        <f aca="false">IF(C$538&gt;=1,(1+Premissas!$B$8)^(C$538-1),0)</f>
        <v>0</v>
      </c>
      <c r="D543" s="45" t="n">
        <f aca="false">IF(D$538&gt;=1,(1+Premissas!$B$8)^(D$538-1),0)</f>
        <v>0</v>
      </c>
      <c r="E543" s="45" t="n">
        <f aca="false">IF(E$538&gt;=1,(1+Premissas!$B$8)^(E$538-1),0)</f>
        <v>0</v>
      </c>
      <c r="F543" s="45" t="n">
        <f aca="false">IF(F$538&gt;=1,(1+Premissas!$B$8)^(F$538-1),0)</f>
        <v>1</v>
      </c>
      <c r="G543" s="45" t="n">
        <f aca="false">IF(G$538&gt;=1,(1+Premissas!$B$8)^(G$538-1),0)</f>
        <v>1.025</v>
      </c>
      <c r="H543" s="45" t="n">
        <f aca="false">IF(H$538&gt;=1,(1+Premissas!$B$8)^(H$538-1),0)</f>
        <v>1.050625</v>
      </c>
      <c r="I543" s="45" t="n">
        <f aca="false">IF(I$538&gt;=1,(1+Premissas!$B$8)^(I$538-1),0)</f>
        <v>1.076890625</v>
      </c>
      <c r="J543" s="45" t="n">
        <f aca="false">IF(J$538&gt;=1,(1+Premissas!$B$8)^(J$538-1),0)</f>
        <v>1.103812890625</v>
      </c>
      <c r="K543" s="45" t="n">
        <f aca="false">IF(K$538&gt;=1,(1+Premissas!$B$8)^(K$538-1),0)</f>
        <v>1.13140821289062</v>
      </c>
      <c r="L543" s="45" t="n">
        <f aca="false">IF(L$538&gt;=1,(1+Premissas!$B$8)^(L$538-1),0)</f>
        <v>1.15969341821289</v>
      </c>
      <c r="M543" s="45" t="n">
        <f aca="false">IF(M$538&gt;=1,(1+Premissas!$B$8)^(M$538-1),0)</f>
        <v>1.18868575366821</v>
      </c>
      <c r="N543" s="45" t="n">
        <f aca="false">IF(N$538&gt;=1,(1+Premissas!$B$8)^(N$538-1),0)</f>
        <v>1.21840289750992</v>
      </c>
      <c r="O543" s="45" t="n">
        <f aca="false">IF(O$538&gt;=1,(1+Premissas!$B$8)^(O$538-1),0)</f>
        <v>1.24886296994767</v>
      </c>
      <c r="P543" s="3"/>
    </row>
    <row r="544" customFormat="false" ht="15" hidden="false" customHeight="false" outlineLevel="0" collapsed="false">
      <c r="A544" s="3"/>
      <c r="B544" s="4" t="s">
        <v>404</v>
      </c>
      <c r="C544" s="45" t="n">
        <f aca="false">IF(C$538&gt;=1,(1+Premissas!$B$9)^(C$538-1),0)</f>
        <v>0</v>
      </c>
      <c r="D544" s="45" t="n">
        <f aca="false">IF(D$538&gt;=1,(1+Premissas!$B$9)^(D$538-1),0)</f>
        <v>0</v>
      </c>
      <c r="E544" s="45" t="n">
        <f aca="false">IF(E$538&gt;=1,(1+Premissas!$B$9)^(E$538-1),0)</f>
        <v>0</v>
      </c>
      <c r="F544" s="45" t="n">
        <f aca="false">IF(F$538&gt;=1,(1+Premissas!$B$9)^(F$538-1),0)</f>
        <v>1</v>
      </c>
      <c r="G544" s="45" t="n">
        <f aca="false">IF(G$538&gt;=1,(1+Premissas!$B$9)^(G$538-1),0)</f>
        <v>1.03</v>
      </c>
      <c r="H544" s="45" t="n">
        <f aca="false">IF(H$538&gt;=1,(1+Premissas!$B$9)^(H$538-1),0)</f>
        <v>1.0609</v>
      </c>
      <c r="I544" s="45" t="n">
        <f aca="false">IF(I$538&gt;=1,(1+Premissas!$B$9)^(I$538-1),0)</f>
        <v>1.092727</v>
      </c>
      <c r="J544" s="45" t="n">
        <f aca="false">IF(J$538&gt;=1,(1+Premissas!$B$9)^(J$538-1),0)</f>
        <v>1.12550881</v>
      </c>
      <c r="K544" s="45" t="n">
        <f aca="false">IF(K$538&gt;=1,(1+Premissas!$B$9)^(K$538-1),0)</f>
        <v>1.1592740743</v>
      </c>
      <c r="L544" s="45" t="n">
        <f aca="false">IF(L$538&gt;=1,(1+Premissas!$B$9)^(L$538-1),0)</f>
        <v>1.194052296529</v>
      </c>
      <c r="M544" s="45" t="n">
        <f aca="false">IF(M$538&gt;=1,(1+Premissas!$B$9)^(M$538-1),0)</f>
        <v>1.22987386542487</v>
      </c>
      <c r="N544" s="45" t="n">
        <f aca="false">IF(N$538&gt;=1,(1+Premissas!$B$9)^(N$538-1),0)</f>
        <v>1.26677008138762</v>
      </c>
      <c r="O544" s="45" t="n">
        <f aca="false">IF(O$538&gt;=1,(1+Premissas!$B$9)^(O$538-1),0)</f>
        <v>1.30477318382925</v>
      </c>
      <c r="P544" s="3"/>
    </row>
    <row r="545" customFormat="false" ht="15" hidden="false" customHeight="false" outlineLevel="0" collapsed="false">
      <c r="A545" s="3"/>
      <c r="B545" s="4" t="s">
        <v>405</v>
      </c>
      <c r="C545" s="36" t="n">
        <f aca="false">C540*Premissas!$F$77*Premissas!$C$32*C543</f>
        <v>0</v>
      </c>
      <c r="D545" s="36" t="n">
        <f aca="false">D540*Premissas!$F$77*Premissas!$C$32*D543</f>
        <v>0</v>
      </c>
      <c r="E545" s="36" t="n">
        <f aca="false">E540*Premissas!$F$77*Premissas!$C$32*E543</f>
        <v>0</v>
      </c>
      <c r="F545" s="36" t="n">
        <f aca="false">F540*Premissas!$F$77*Premissas!$C$32*F543</f>
        <v>960000</v>
      </c>
      <c r="G545" s="36" t="n">
        <f aca="false">G540*Premissas!$F$77*Premissas!$C$32*G543</f>
        <v>984000</v>
      </c>
      <c r="H545" s="36" t="n">
        <f aca="false">H540*Premissas!$F$77*Premissas!$C$32*H543</f>
        <v>1008600</v>
      </c>
      <c r="I545" s="36" t="n">
        <f aca="false">I540*Premissas!$F$77*Premissas!$C$32*I543</f>
        <v>1033815</v>
      </c>
      <c r="J545" s="36" t="n">
        <f aca="false">J540*Premissas!$F$77*Premissas!$C$32*J543</f>
        <v>1059660.375</v>
      </c>
      <c r="K545" s="36" t="n">
        <f aca="false">K540*Premissas!$F$77*Premissas!$C$32*K543</f>
        <v>1086151.884375</v>
      </c>
      <c r="L545" s="36" t="n">
        <f aca="false">L540*Premissas!$F$77*Premissas!$C$32*L543</f>
        <v>1113305.68148437</v>
      </c>
      <c r="M545" s="36" t="n">
        <f aca="false">M540*Premissas!$F$77*Premissas!$C$32*M543</f>
        <v>1141138.32352148</v>
      </c>
      <c r="N545" s="36" t="n">
        <f aca="false">N540*Premissas!$F$77*Premissas!$C$32*N543</f>
        <v>1169666.78160952</v>
      </c>
      <c r="O545" s="36" t="n">
        <f aca="false">O540*Premissas!$F$77*Premissas!$C$32*O543</f>
        <v>1198908.45114976</v>
      </c>
      <c r="P545" s="3"/>
    </row>
    <row r="546" customFormat="false" ht="15" hidden="false" customHeight="false" outlineLevel="0" collapsed="false">
      <c r="A546" s="3"/>
      <c r="B546" s="4" t="s">
        <v>406</v>
      </c>
      <c r="C546" s="36" t="n">
        <f aca="false">C542*Premissas!$F$77*Premissas!$C$32*(1-Premissas!$B$12)*C543</f>
        <v>0</v>
      </c>
      <c r="D546" s="36" t="n">
        <f aca="false">D542*Premissas!$F$77*Premissas!$C$32*(1-Premissas!$B$12)*D543</f>
        <v>0</v>
      </c>
      <c r="E546" s="36" t="n">
        <f aca="false">E542*Premissas!$F$77*Premissas!$C$32*(1-Premissas!$B$12)*E543</f>
        <v>0</v>
      </c>
      <c r="F546" s="36" t="n">
        <f aca="false">F542*Premissas!$F$77*Premissas!$C$32*(1-Premissas!$B$12)*F543</f>
        <v>1030200</v>
      </c>
      <c r="G546" s="36" t="n">
        <f aca="false">G542*Premissas!$F$77*Premissas!$C$32*(1-Premissas!$B$12)*G543</f>
        <v>1463700</v>
      </c>
      <c r="H546" s="36" t="n">
        <f aca="false">H542*Premissas!$F$77*Premissas!$C$32*(1-Premissas!$B$12)*H543</f>
        <v>1500292.5</v>
      </c>
      <c r="I546" s="36" t="n">
        <f aca="false">I542*Premissas!$F$77*Premissas!$C$32*(1-Premissas!$B$12)*I543</f>
        <v>1537799.8125</v>
      </c>
      <c r="J546" s="36" t="n">
        <f aca="false">J542*Premissas!$F$77*Premissas!$C$32*(1-Premissas!$B$12)*J543</f>
        <v>1576244.8078125</v>
      </c>
      <c r="K546" s="36" t="n">
        <f aca="false">K542*Premissas!$F$77*Premissas!$C$32*(1-Premissas!$B$12)*K543</f>
        <v>1615650.92800781</v>
      </c>
      <c r="L546" s="36" t="n">
        <f aca="false">L542*Premissas!$F$77*Premissas!$C$32*(1-Premissas!$B$12)*L543</f>
        <v>1656042.20120801</v>
      </c>
      <c r="M546" s="36" t="n">
        <f aca="false">M542*Premissas!$F$77*Premissas!$C$32*(1-Premissas!$B$12)*M543</f>
        <v>1697443.25623821</v>
      </c>
      <c r="N546" s="36" t="n">
        <f aca="false">N542*Premissas!$F$77*Premissas!$C$32*(1-Premissas!$B$12)*N543</f>
        <v>1739879.33764416</v>
      </c>
      <c r="O546" s="36" t="n">
        <f aca="false">O542*Premissas!$F$77*Premissas!$C$32*(1-Premissas!$B$12)*O543</f>
        <v>1783376.32108527</v>
      </c>
      <c r="P546" s="3"/>
    </row>
    <row r="547" customFormat="false" ht="15" hidden="false" customHeight="false" outlineLevel="0" collapsed="false">
      <c r="A547" s="3"/>
      <c r="B547" s="4" t="s">
        <v>407</v>
      </c>
      <c r="C547" s="36" t="n">
        <f aca="false">C541*Premissas!$F$44*Premissas!$C$38*Premissas!$F$78*Premissas!$C$32*(1-Premissas!$B$12)*C543</f>
        <v>0</v>
      </c>
      <c r="D547" s="36" t="n">
        <f aca="false">D541*Premissas!$F$44*Premissas!$C$38*Premissas!$F$78*Premissas!$C$32*(1-Premissas!$B$12)*D543</f>
        <v>0</v>
      </c>
      <c r="E547" s="36" t="n">
        <f aca="false">E541*Premissas!$F$44*Premissas!$C$38*Premissas!$F$78*Premissas!$C$32*(1-Premissas!$B$12)*E543</f>
        <v>0</v>
      </c>
      <c r="F547" s="36" t="n">
        <f aca="false">F541*Premissas!$F$44*Premissas!$C$38*Premissas!$F$78*Premissas!$C$32*(1-Premissas!$B$12)*F543</f>
        <v>428400</v>
      </c>
      <c r="G547" s="36" t="n">
        <f aca="false">G541*Premissas!$F$44*Premissas!$C$38*Premissas!$F$78*Premissas!$C$32*(1-Premissas!$B$12)*G543</f>
        <v>439110</v>
      </c>
      <c r="H547" s="36" t="n">
        <f aca="false">H541*Premissas!$F$44*Premissas!$C$38*Premissas!$F$78*Premissas!$C$32*(1-Premissas!$B$12)*H543</f>
        <v>450087.75</v>
      </c>
      <c r="I547" s="36" t="n">
        <f aca="false">I541*Premissas!$F$44*Premissas!$C$38*Premissas!$F$78*Premissas!$C$32*(1-Premissas!$B$12)*I543</f>
        <v>461339.94375</v>
      </c>
      <c r="J547" s="36" t="n">
        <f aca="false">J541*Premissas!$F$44*Premissas!$C$38*Premissas!$F$78*Premissas!$C$32*(1-Premissas!$B$12)*J543</f>
        <v>472873.44234375</v>
      </c>
      <c r="K547" s="36" t="n">
        <f aca="false">K541*Premissas!$F$44*Premissas!$C$38*Premissas!$F$78*Premissas!$C$32*(1-Premissas!$B$12)*K543</f>
        <v>484695.278402344</v>
      </c>
      <c r="L547" s="36" t="n">
        <f aca="false">L541*Premissas!$F$44*Premissas!$C$38*Premissas!$F$78*Premissas!$C$32*(1-Premissas!$B$12)*L543</f>
        <v>496812.660362402</v>
      </c>
      <c r="M547" s="36" t="n">
        <f aca="false">M541*Premissas!$F$44*Premissas!$C$38*Premissas!$F$78*Premissas!$C$32*(1-Premissas!$B$12)*M543</f>
        <v>509232.976871462</v>
      </c>
      <c r="N547" s="36" t="n">
        <f aca="false">N541*Premissas!$F$44*Premissas!$C$38*Premissas!$F$78*Premissas!$C$32*(1-Premissas!$B$12)*N543</f>
        <v>521963.801293249</v>
      </c>
      <c r="O547" s="36" t="n">
        <f aca="false">O541*Premissas!$F$44*Premissas!$C$38*Premissas!$F$78*Premissas!$C$32*(1-Premissas!$B$12)*O543</f>
        <v>535012.89632558</v>
      </c>
      <c r="P547" s="3"/>
    </row>
    <row r="548" customFormat="false" ht="15" hidden="false" customHeight="false" outlineLevel="0" collapsed="false">
      <c r="A548" s="3"/>
      <c r="B548" s="4" t="s">
        <v>408</v>
      </c>
      <c r="C548" s="36" t="n">
        <f aca="false">C539*Premissas!$F$44*Premissas!$B$14*Premissas!$B$13*C543</f>
        <v>0</v>
      </c>
      <c r="D548" s="36" t="n">
        <f aca="false">D539*Premissas!$F$44*Premissas!$B$14*Premissas!$B$13*D543</f>
        <v>0</v>
      </c>
      <c r="E548" s="36" t="n">
        <f aca="false">E539*Premissas!$F$44*Premissas!$B$14*Premissas!$B$13*E543</f>
        <v>0</v>
      </c>
      <c r="F548" s="36" t="n">
        <f aca="false">F539*Premissas!$F$44*Premissas!$B$14*Premissas!$B$13*F543</f>
        <v>119340</v>
      </c>
      <c r="G548" s="36" t="n">
        <f aca="false">G539*Premissas!$F$44*Premissas!$B$14*Premissas!$B$13*G543</f>
        <v>143910</v>
      </c>
      <c r="H548" s="36" t="n">
        <f aca="false">H539*Premissas!$F$44*Premissas!$B$14*Premissas!$B$13*H543</f>
        <v>147507.75</v>
      </c>
      <c r="I548" s="36" t="n">
        <f aca="false">I539*Premissas!$F$44*Premissas!$B$14*Premissas!$B$13*I543</f>
        <v>151195.44375</v>
      </c>
      <c r="J548" s="36" t="n">
        <f aca="false">J539*Premissas!$F$44*Premissas!$B$14*Premissas!$B$13*J543</f>
        <v>154975.32984375</v>
      </c>
      <c r="K548" s="36" t="n">
        <f aca="false">K539*Premissas!$F$44*Premissas!$B$14*Premissas!$B$13*K543</f>
        <v>158849.713089844</v>
      </c>
      <c r="L548" s="36" t="n">
        <f aca="false">L539*Premissas!$F$44*Premissas!$B$14*Premissas!$B$13*L543</f>
        <v>162820.95591709</v>
      </c>
      <c r="M548" s="36" t="n">
        <f aca="false">M539*Premissas!$F$44*Premissas!$B$14*Premissas!$B$13*M543</f>
        <v>166891.479815017</v>
      </c>
      <c r="N548" s="36" t="n">
        <f aca="false">N539*Premissas!$F$44*Premissas!$B$14*Premissas!$B$13*N543</f>
        <v>171063.766810392</v>
      </c>
      <c r="O548" s="36" t="n">
        <f aca="false">O539*Premissas!$F$44*Premissas!$B$14*Premissas!$B$13*O543</f>
        <v>175340.360980652</v>
      </c>
      <c r="P548" s="3"/>
    </row>
    <row r="549" customFormat="false" ht="15" hidden="false" customHeight="false" outlineLevel="0" collapsed="false">
      <c r="A549" s="3"/>
      <c r="B549" s="14" t="s">
        <v>409</v>
      </c>
      <c r="C549" s="33" t="n">
        <f aca="false">SUM(C545:C548)</f>
        <v>0</v>
      </c>
      <c r="D549" s="33" t="n">
        <f aca="false">SUM(D545:D548)</f>
        <v>0</v>
      </c>
      <c r="E549" s="33" t="n">
        <f aca="false">SUM(E545:E548)</f>
        <v>0</v>
      </c>
      <c r="F549" s="33" t="n">
        <f aca="false">SUM(F545:F548)</f>
        <v>2537940</v>
      </c>
      <c r="G549" s="33" t="n">
        <f aca="false">SUM(G545:G548)</f>
        <v>3030720</v>
      </c>
      <c r="H549" s="33" t="n">
        <f aca="false">SUM(H545:H548)</f>
        <v>3106488</v>
      </c>
      <c r="I549" s="33" t="n">
        <f aca="false">SUM(I545:I548)</f>
        <v>3184150.2</v>
      </c>
      <c r="J549" s="33" t="n">
        <f aca="false">SUM(J545:J548)</f>
        <v>3263753.955</v>
      </c>
      <c r="K549" s="33" t="n">
        <f aca="false">SUM(K545:K548)</f>
        <v>3345347.803875</v>
      </c>
      <c r="L549" s="33" t="n">
        <f aca="false">SUM(L545:L548)</f>
        <v>3428981.49897187</v>
      </c>
      <c r="M549" s="33" t="n">
        <f aca="false">SUM(M545:M548)</f>
        <v>3514706.03644617</v>
      </c>
      <c r="N549" s="33" t="n">
        <f aca="false">SUM(N545:N548)</f>
        <v>3602573.68735732</v>
      </c>
      <c r="O549" s="33" t="n">
        <f aca="false">SUM(O545:O548)</f>
        <v>3692638.02954126</v>
      </c>
      <c r="P549" s="3"/>
    </row>
    <row r="550" customFormat="false" ht="15" hidden="false" customHeight="false" outlineLevel="0" collapsed="false">
      <c r="A550" s="3"/>
      <c r="B550" s="4" t="s">
        <v>410</v>
      </c>
      <c r="C550" s="36" t="n">
        <f aca="false">-C539*(Premissas!$F$70*Premissas!$C$34/Premissas!$B$6+Premissas!$F$75)*Premissas!$C$33*C544</f>
        <v>-0</v>
      </c>
      <c r="D550" s="36" t="n">
        <f aca="false">-D539*(Premissas!$F$70*Premissas!$C$34/Premissas!$B$6+Premissas!$F$75)*Premissas!$C$33*D544</f>
        <v>-0</v>
      </c>
      <c r="E550" s="36" t="n">
        <f aca="false">-E539*(Premissas!$F$70*Premissas!$C$34/Premissas!$B$6+Premissas!$F$75)*Premissas!$C$33*E544</f>
        <v>-0</v>
      </c>
      <c r="F550" s="36" t="n">
        <f aca="false">-F539*(Premissas!$F$70*Premissas!$C$34/Premissas!$B$6+Premissas!$F$75)*Premissas!$C$33*F544</f>
        <v>-725764.960869565</v>
      </c>
      <c r="G550" s="36" t="n">
        <f aca="false">-G539*(Premissas!$F$70*Premissas!$C$34/Premissas!$B$6+Premissas!$F$75)*Premissas!$C$33*G544</f>
        <v>-879456.364347826</v>
      </c>
      <c r="H550" s="36" t="n">
        <f aca="false">-H539*(Premissas!$F$70*Premissas!$C$34/Premissas!$B$6+Premissas!$F$75)*Premissas!$C$33*H544</f>
        <v>-905840.055278261</v>
      </c>
      <c r="I550" s="36" t="n">
        <f aca="false">-I539*(Premissas!$F$70*Premissas!$C$34/Premissas!$B$6+Premissas!$F$75)*Premissas!$C$33*I544</f>
        <v>-933015.256936609</v>
      </c>
      <c r="J550" s="36" t="n">
        <f aca="false">-J539*(Premissas!$F$70*Premissas!$C$34/Premissas!$B$6+Premissas!$F$75)*Premissas!$C$33*J544</f>
        <v>-961005.714644707</v>
      </c>
      <c r="K550" s="36" t="n">
        <f aca="false">-K539*(Premissas!$F$70*Premissas!$C$34/Premissas!$B$6+Premissas!$F$75)*Premissas!$C$33*K544</f>
        <v>-989835.886084048</v>
      </c>
      <c r="L550" s="36" t="n">
        <f aca="false">-L539*(Premissas!$F$70*Premissas!$C$34/Premissas!$B$6+Premissas!$F$75)*Premissas!$C$33*L544</f>
        <v>-1019530.96266657</v>
      </c>
      <c r="M550" s="36" t="n">
        <f aca="false">-M539*(Premissas!$F$70*Premissas!$C$34/Premissas!$B$6+Premissas!$F$75)*Premissas!$C$33*M544</f>
        <v>-1050116.89154657</v>
      </c>
      <c r="N550" s="36" t="n">
        <f aca="false">-N539*(Premissas!$F$70*Premissas!$C$34/Premissas!$B$6+Premissas!$F$75)*Premissas!$C$33*N544</f>
        <v>-1081620.39829296</v>
      </c>
      <c r="O550" s="36" t="n">
        <f aca="false">-O539*(Premissas!$F$70*Premissas!$C$34/Premissas!$B$6+Premissas!$F$75)*Premissas!$C$33*O544</f>
        <v>-1114069.01024175</v>
      </c>
      <c r="P550" s="3"/>
    </row>
    <row r="551" customFormat="false" ht="15" hidden="false" customHeight="false" outlineLevel="0" collapsed="false">
      <c r="A551" s="3"/>
      <c r="B551" s="4" t="s">
        <v>411</v>
      </c>
      <c r="C551" s="36" t="n">
        <f aca="false">-IF(C$538&gt;=1,Premissas!$F$68*Premissas!$C$33*C544,0)</f>
        <v>-0</v>
      </c>
      <c r="D551" s="36" t="n">
        <f aca="false">-IF(D$538&gt;=1,Premissas!$F$68*Premissas!$C$33*D544,0)</f>
        <v>-0</v>
      </c>
      <c r="E551" s="36" t="n">
        <f aca="false">-IF(E$538&gt;=1,Premissas!$F$68*Premissas!$C$33*E544,0)</f>
        <v>-0</v>
      </c>
      <c r="F551" s="36" t="n">
        <f aca="false">-IF(F$538&gt;=1,Premissas!$F$68*Premissas!$C$33*F544,0)</f>
        <v>-2191484</v>
      </c>
      <c r="G551" s="36" t="n">
        <f aca="false">-IF(G$538&gt;=1,Premissas!$F$68*Premissas!$C$33*G544,0)</f>
        <v>-2257228.52</v>
      </c>
      <c r="H551" s="36" t="n">
        <f aca="false">-IF(H$538&gt;=1,Premissas!$F$68*Premissas!$C$33*H544,0)</f>
        <v>-2324945.3756</v>
      </c>
      <c r="I551" s="36" t="n">
        <f aca="false">-IF(I$538&gt;=1,Premissas!$F$68*Premissas!$C$33*I544,0)</f>
        <v>-2394693.736868</v>
      </c>
      <c r="J551" s="36" t="n">
        <f aca="false">-IF(J$538&gt;=1,Premissas!$F$68*Premissas!$C$33*J544,0)</f>
        <v>-2466534.54897404</v>
      </c>
      <c r="K551" s="36" t="n">
        <f aca="false">-IF(K$538&gt;=1,Premissas!$F$68*Premissas!$C$33*K544,0)</f>
        <v>-2540530.58544326</v>
      </c>
      <c r="L551" s="36" t="n">
        <f aca="false">-IF(L$538&gt;=1,Premissas!$F$68*Premissas!$C$33*L544,0)</f>
        <v>-2616746.50300656</v>
      </c>
      <c r="M551" s="36" t="n">
        <f aca="false">-IF(M$538&gt;=1,Premissas!$F$68*Premissas!$C$33*M544,0)</f>
        <v>-2695248.89809676</v>
      </c>
      <c r="N551" s="36" t="n">
        <f aca="false">-IF(N$538&gt;=1,Premissas!$F$68*Premissas!$C$33*N544,0)</f>
        <v>-2776106.36503966</v>
      </c>
      <c r="O551" s="36" t="n">
        <f aca="false">-IF(O$538&gt;=1,Premissas!$F$68*Premissas!$C$33*O544,0)</f>
        <v>-2859389.55599085</v>
      </c>
      <c r="P551" s="3"/>
    </row>
    <row r="552" customFormat="false" ht="15" hidden="false" customHeight="false" outlineLevel="0" collapsed="false">
      <c r="A552" s="3"/>
      <c r="B552" s="14" t="s">
        <v>412</v>
      </c>
      <c r="C552" s="33" t="n">
        <f aca="false">C549+C550+C551</f>
        <v>0</v>
      </c>
      <c r="D552" s="33" t="n">
        <f aca="false">D549+D550+D551</f>
        <v>0</v>
      </c>
      <c r="E552" s="33" t="n">
        <f aca="false">E549+E550+E551</f>
        <v>0</v>
      </c>
      <c r="F552" s="33" t="n">
        <f aca="false">F549+F550+F551</f>
        <v>-379308.960869565</v>
      </c>
      <c r="G552" s="33" t="n">
        <f aca="false">G549+G550+G551</f>
        <v>-105964.884347827</v>
      </c>
      <c r="H552" s="33" t="n">
        <f aca="false">H549+H550+H551</f>
        <v>-124297.430878261</v>
      </c>
      <c r="I552" s="33" t="n">
        <f aca="false">I549+I550+I551</f>
        <v>-143558.79380461</v>
      </c>
      <c r="J552" s="33" t="n">
        <f aca="false">J549+J550+J551</f>
        <v>-163786.308618749</v>
      </c>
      <c r="K552" s="33" t="n">
        <f aca="false">K549+K550+K551</f>
        <v>-185018.667652311</v>
      </c>
      <c r="L552" s="33" t="n">
        <f aca="false">L549+L550+L551</f>
        <v>-207295.966701256</v>
      </c>
      <c r="M552" s="33" t="n">
        <f aca="false">M549+M550+M551</f>
        <v>-230659.753197153</v>
      </c>
      <c r="N552" s="33" t="n">
        <f aca="false">N549+N550+N551</f>
        <v>-255153.075975299</v>
      </c>
      <c r="O552" s="33" t="n">
        <f aca="false">O549+O550+O551</f>
        <v>-280820.536691346</v>
      </c>
      <c r="P552" s="3"/>
    </row>
    <row r="553" customFormat="false" ht="15" hidden="false" customHeight="false" outlineLevel="0" collapsed="false">
      <c r="A553" s="3"/>
      <c r="B553" s="4" t="s">
        <v>413</v>
      </c>
      <c r="C553" s="42" t="n">
        <f aca="false">IF(C549=0,0,C552/C549)</f>
        <v>0</v>
      </c>
      <c r="D553" s="42" t="n">
        <f aca="false">IF(D549=0,0,D552/D549)</f>
        <v>0</v>
      </c>
      <c r="E553" s="42" t="n">
        <f aca="false">IF(E549=0,0,E552/E549)</f>
        <v>0</v>
      </c>
      <c r="F553" s="42" t="n">
        <f aca="false">IF(F549=0,0,F552/F549)</f>
        <v>-0.149455448461967</v>
      </c>
      <c r="G553" s="42" t="n">
        <f aca="false">IF(G549=0,0,G552/G549)</f>
        <v>-0.0349636008433068</v>
      </c>
      <c r="H553" s="42" t="n">
        <f aca="false">IF(H549=0,0,H552/H549)</f>
        <v>-0.0400122037742496</v>
      </c>
      <c r="I553" s="42" t="n">
        <f aca="false">IF(I549=0,0,I552/I549)</f>
        <v>-0.0450854340365633</v>
      </c>
      <c r="J553" s="42" t="n">
        <f aca="false">IF(J549=0,0,J552/J549)</f>
        <v>-0.0501834117635712</v>
      </c>
      <c r="K553" s="42" t="n">
        <f aca="false">IF(K549=0,0,K552/K549)</f>
        <v>-0.055306257674613</v>
      </c>
      <c r="L553" s="42" t="n">
        <f aca="false">IF(L549=0,0,L552/L549)</f>
        <v>-0.0604540930779039</v>
      </c>
      <c r="M553" s="42" t="n">
        <f aca="false">IF(M549=0,0,M552/M549)</f>
        <v>-0.0656270398734059</v>
      </c>
      <c r="N553" s="42" t="n">
        <f aca="false">IF(N549=0,0,N552/N549)</f>
        <v>-0.0708252205557154</v>
      </c>
      <c r="O553" s="42" t="n">
        <f aca="false">IF(O549=0,0,O552/O549)</f>
        <v>-0.076048758216963</v>
      </c>
      <c r="P553" s="3"/>
    </row>
    <row r="554" customFormat="false" ht="15" hidden="false" customHeight="false" outlineLevel="0" collapsed="false">
      <c r="A554" s="3"/>
      <c r="B554" s="4" t="s">
        <v>414</v>
      </c>
      <c r="C554" s="36" t="n">
        <f aca="false">-IF(C$538&gt;=1,Premissas!$F$52*(1-Premissas!$C$35)/10,0)</f>
        <v>-0</v>
      </c>
      <c r="D554" s="36" t="n">
        <f aca="false">-IF(D$538&gt;=1,Premissas!$F$52*(1-Premissas!$C$35)/10,0)</f>
        <v>-0</v>
      </c>
      <c r="E554" s="36" t="n">
        <f aca="false">-IF(E$538&gt;=1,Premissas!$F$52*(1-Premissas!$C$35)/10,0)</f>
        <v>-0</v>
      </c>
      <c r="F554" s="36" t="n">
        <f aca="false">-IF(F$538&gt;=1,Premissas!$F$52*(1-Premissas!$C$35)/10,0)</f>
        <v>-1231650</v>
      </c>
      <c r="G554" s="36" t="n">
        <f aca="false">-IF(G$538&gt;=1,Premissas!$F$52*(1-Premissas!$C$35)/10,0)</f>
        <v>-1231650</v>
      </c>
      <c r="H554" s="36" t="n">
        <f aca="false">-IF(H$538&gt;=1,Premissas!$F$52*(1-Premissas!$C$35)/10,0)</f>
        <v>-1231650</v>
      </c>
      <c r="I554" s="36" t="n">
        <f aca="false">-IF(I$538&gt;=1,Premissas!$F$52*(1-Premissas!$C$35)/10,0)</f>
        <v>-1231650</v>
      </c>
      <c r="J554" s="36" t="n">
        <f aca="false">-IF(J$538&gt;=1,Premissas!$F$52*(1-Premissas!$C$35)/10,0)</f>
        <v>-1231650</v>
      </c>
      <c r="K554" s="36" t="n">
        <f aca="false">-IF(K$538&gt;=1,Premissas!$F$52*(1-Premissas!$C$35)/10,0)</f>
        <v>-1231650</v>
      </c>
      <c r="L554" s="36" t="n">
        <f aca="false">-IF(L$538&gt;=1,Premissas!$F$52*(1-Premissas!$C$35)/10,0)</f>
        <v>-1231650</v>
      </c>
      <c r="M554" s="36" t="n">
        <f aca="false">-IF(M$538&gt;=1,Premissas!$F$52*(1-Premissas!$C$35)/10,0)</f>
        <v>-1231650</v>
      </c>
      <c r="N554" s="36" t="n">
        <f aca="false">-IF(N$538&gt;=1,Premissas!$F$52*(1-Premissas!$C$35)/10,0)</f>
        <v>-1231650</v>
      </c>
      <c r="O554" s="36" t="n">
        <f aca="false">-IF(O$538&gt;=1,Premissas!$F$52*(1-Premissas!$C$35)/10,0)</f>
        <v>-1231650</v>
      </c>
      <c r="P554" s="3"/>
    </row>
    <row r="555" customFormat="false" ht="15" hidden="false" customHeight="false" outlineLevel="0" collapsed="false">
      <c r="A555" s="3"/>
      <c r="B555" s="14" t="s">
        <v>415</v>
      </c>
      <c r="C555" s="40" t="n">
        <f aca="false">C552+C554</f>
        <v>0</v>
      </c>
      <c r="D555" s="40" t="n">
        <f aca="false">D552+D554</f>
        <v>0</v>
      </c>
      <c r="E555" s="40" t="n">
        <f aca="false">E552+E554</f>
        <v>0</v>
      </c>
      <c r="F555" s="40" t="n">
        <f aca="false">F552+F554</f>
        <v>-1610958.96086957</v>
      </c>
      <c r="G555" s="40" t="n">
        <f aca="false">G552+G554</f>
        <v>-1337614.88434783</v>
      </c>
      <c r="H555" s="40" t="n">
        <f aca="false">H552+H554</f>
        <v>-1355947.43087826</v>
      </c>
      <c r="I555" s="40" t="n">
        <f aca="false">I552+I554</f>
        <v>-1375208.79380461</v>
      </c>
      <c r="J555" s="40" t="n">
        <f aca="false">J552+J554</f>
        <v>-1395436.30861875</v>
      </c>
      <c r="K555" s="40" t="n">
        <f aca="false">K552+K554</f>
        <v>-1416668.66765231</v>
      </c>
      <c r="L555" s="40" t="n">
        <f aca="false">L552+L554</f>
        <v>-1438945.96670126</v>
      </c>
      <c r="M555" s="40" t="n">
        <f aca="false">M552+M554</f>
        <v>-1462309.75319715</v>
      </c>
      <c r="N555" s="40" t="n">
        <f aca="false">N552+N554</f>
        <v>-1486803.0759753</v>
      </c>
      <c r="O555" s="40" t="n">
        <f aca="false">O552+O554</f>
        <v>-1512470.53669135</v>
      </c>
      <c r="P555" s="3"/>
    </row>
    <row r="556" customFormat="false" ht="15" hidden="false" customHeight="false" outlineLevel="0" collapsed="false">
      <c r="A556" s="3"/>
      <c r="B556" s="4" t="s">
        <v>416</v>
      </c>
      <c r="C556" s="36" t="n">
        <f aca="false">-MAX(0,C555)*Premissas!$B$11</f>
        <v>-0</v>
      </c>
      <c r="D556" s="36" t="n">
        <f aca="false">-MAX(0,D555)*Premissas!$B$11</f>
        <v>-0</v>
      </c>
      <c r="E556" s="36" t="n">
        <f aca="false">-MAX(0,E555)*Premissas!$B$11</f>
        <v>-0</v>
      </c>
      <c r="F556" s="36" t="n">
        <f aca="false">-MAX(0,F555)*Premissas!$B$11</f>
        <v>-0</v>
      </c>
      <c r="G556" s="36" t="n">
        <f aca="false">-MAX(0,G555)*Premissas!$B$11</f>
        <v>-0</v>
      </c>
      <c r="H556" s="36" t="n">
        <f aca="false">-MAX(0,H555)*Premissas!$B$11</f>
        <v>-0</v>
      </c>
      <c r="I556" s="36" t="n">
        <f aca="false">-MAX(0,I555)*Premissas!$B$11</f>
        <v>-0</v>
      </c>
      <c r="J556" s="36" t="n">
        <f aca="false">-MAX(0,J555)*Premissas!$B$11</f>
        <v>-0</v>
      </c>
      <c r="K556" s="36" t="n">
        <f aca="false">-MAX(0,K555)*Premissas!$B$11</f>
        <v>-0</v>
      </c>
      <c r="L556" s="36" t="n">
        <f aca="false">-MAX(0,L555)*Premissas!$B$11</f>
        <v>-0</v>
      </c>
      <c r="M556" s="36" t="n">
        <f aca="false">-MAX(0,M555)*Premissas!$B$11</f>
        <v>-0</v>
      </c>
      <c r="N556" s="36" t="n">
        <f aca="false">-MAX(0,N555)*Premissas!$B$11</f>
        <v>-0</v>
      </c>
      <c r="O556" s="36" t="n">
        <f aca="false">-MAX(0,O555)*Premissas!$B$11</f>
        <v>-0</v>
      </c>
      <c r="P556" s="3"/>
    </row>
    <row r="557" customFormat="false" ht="15" hidden="false" customHeight="false" outlineLevel="0" collapsed="false">
      <c r="A557" s="3"/>
      <c r="B557" s="4" t="s">
        <v>417</v>
      </c>
      <c r="C557" s="36" t="n">
        <f aca="false">-(IF(C$538=3,Premissas!$F$80,0)+IF(C$538=5,Premissas!$F$81,0)+IF(C$538=8,Premissas!$F$82,0)+IF(C$538=10,Premissas!$F$83,0))*C544</f>
        <v>-0</v>
      </c>
      <c r="D557" s="36" t="n">
        <f aca="false">-(IF(D$538=3,Premissas!$F$80,0)+IF(D$538=5,Premissas!$F$81,0)+IF(D$538=8,Premissas!$F$82,0)+IF(D$538=10,Premissas!$F$83,0))*D544</f>
        <v>-0</v>
      </c>
      <c r="E557" s="36" t="n">
        <f aca="false">-(IF(E$538=3,Premissas!$F$80,0)+IF(E$538=5,Premissas!$F$81,0)+IF(E$538=8,Premissas!$F$82,0)+IF(E$538=10,Premissas!$F$83,0))*E544</f>
        <v>-0</v>
      </c>
      <c r="F557" s="36" t="n">
        <f aca="false">-(IF(F$538=3,Premissas!$F$80,0)+IF(F$538=5,Premissas!$F$81,0)+IF(F$538=8,Premissas!$F$82,0)+IF(F$538=10,Premissas!$F$83,0))*F544</f>
        <v>-0</v>
      </c>
      <c r="G557" s="36" t="n">
        <f aca="false">-(IF(G$538=3,Premissas!$F$80,0)+IF(G$538=5,Premissas!$F$81,0)+IF(G$538=8,Premissas!$F$82,0)+IF(G$538=10,Premissas!$F$83,0))*G544</f>
        <v>-0</v>
      </c>
      <c r="H557" s="36" t="n">
        <f aca="false">-(IF(H$538=3,Premissas!$F$80,0)+IF(H$538=5,Premissas!$F$81,0)+IF(H$538=8,Premissas!$F$82,0)+IF(H$538=10,Premissas!$F$83,0))*H544</f>
        <v>-233398</v>
      </c>
      <c r="I557" s="36" t="n">
        <f aca="false">-(IF(I$538=3,Premissas!$F$80,0)+IF(I$538=5,Premissas!$F$81,0)+IF(I$538=8,Premissas!$F$82,0)+IF(I$538=10,Premissas!$F$83,0))*I544</f>
        <v>-0</v>
      </c>
      <c r="J557" s="36" t="n">
        <f aca="false">-(IF(J$538=3,Premissas!$F$80,0)+IF(J$538=5,Premissas!$F$81,0)+IF(J$538=8,Premissas!$F$82,0)+IF(J$538=10,Premissas!$F$83,0))*J544</f>
        <v>-562754.405</v>
      </c>
      <c r="K557" s="36" t="n">
        <f aca="false">-(IF(K$538=3,Premissas!$F$80,0)+IF(K$538=5,Premissas!$F$81,0)+IF(K$538=8,Premissas!$F$82,0)+IF(K$538=10,Premissas!$F$83,0))*K544</f>
        <v>-0</v>
      </c>
      <c r="L557" s="36" t="n">
        <f aca="false">-(IF(L$538=3,Premissas!$F$80,0)+IF(L$538=5,Premissas!$F$81,0)+IF(L$538=8,Premissas!$F$82,0)+IF(L$538=10,Premissas!$F$83,0))*L544</f>
        <v>-0</v>
      </c>
      <c r="M557" s="36" t="n">
        <f aca="false">-(IF(M$538=3,Premissas!$F$80,0)+IF(M$538=5,Premissas!$F$81,0)+IF(M$538=8,Premissas!$F$82,0)+IF(M$538=10,Premissas!$F$83,0))*M544</f>
        <v>-307468.466356218</v>
      </c>
      <c r="N557" s="36" t="n">
        <f aca="false">-(IF(N$538=3,Premissas!$F$80,0)+IF(N$538=5,Premissas!$F$81,0)+IF(N$538=8,Premissas!$F$82,0)+IF(N$538=10,Premissas!$F$83,0))*N544</f>
        <v>-0</v>
      </c>
      <c r="O557" s="36" t="n">
        <f aca="false">-(IF(O$538=3,Premissas!$F$80,0)+IF(O$538=5,Premissas!$F$81,0)+IF(O$538=8,Premissas!$F$82,0)+IF(O$538=10,Premissas!$F$83,0))*O544</f>
        <v>-782863.910297547</v>
      </c>
      <c r="P557" s="3"/>
    </row>
    <row r="558" customFormat="false" ht="15" hidden="false" customHeight="false" outlineLevel="0" collapsed="false">
      <c r="A558" s="3"/>
      <c r="B558" s="4" t="s">
        <v>418</v>
      </c>
      <c r="C558" s="36" t="n">
        <f aca="false">-IF(C$538&gt;=1,Premissas!$F$52*(Premissas!$F$84+IF(C$538=6,Premissas!$F$85,0))*C544,0)</f>
        <v>-0</v>
      </c>
      <c r="D558" s="36" t="n">
        <f aca="false">-IF(D$538&gt;=1,Premissas!$F$52*(Premissas!$F$84+IF(D$538=6,Premissas!$F$85,0))*D544,0)</f>
        <v>-0</v>
      </c>
      <c r="E558" s="36" t="n">
        <f aca="false">-IF(E$538&gt;=1,Premissas!$F$52*(Premissas!$F$84+IF(E$538=6,Premissas!$F$85,0))*E544,0)</f>
        <v>-0</v>
      </c>
      <c r="F558" s="36" t="n">
        <f aca="false">-IF(F$538&gt;=1,Premissas!$F$52*(Premissas!$F$84+IF(F$538=6,Premissas!$F$85,0))*F544,0)</f>
        <v>-136850</v>
      </c>
      <c r="G558" s="36" t="n">
        <f aca="false">-IF(G$538&gt;=1,Premissas!$F$52*(Premissas!$F$84+IF(G$538=6,Premissas!$F$85,0))*G544,0)</f>
        <v>-140955.5</v>
      </c>
      <c r="H558" s="36" t="n">
        <f aca="false">-IF(H$538&gt;=1,Premissas!$F$52*(Premissas!$F$84+IF(H$538=6,Premissas!$F$85,0))*H544,0)</f>
        <v>-145184.165</v>
      </c>
      <c r="I558" s="36" t="n">
        <f aca="false">-IF(I$538&gt;=1,Premissas!$F$52*(Premissas!$F$84+IF(I$538=6,Premissas!$F$85,0))*I544,0)</f>
        <v>-149539.68995</v>
      </c>
      <c r="J558" s="36" t="n">
        <f aca="false">-IF(J$538&gt;=1,Premissas!$F$52*(Premissas!$F$84+IF(J$538=6,Premissas!$F$85,0))*J544,0)</f>
        <v>-154025.8806485</v>
      </c>
      <c r="K558" s="36" t="n">
        <f aca="false">-IF(K$538&gt;=1,Premissas!$F$52*(Premissas!$F$84+IF(K$538=6,Premissas!$F$85,0))*K544,0)</f>
        <v>-1427819.9136116</v>
      </c>
      <c r="L558" s="36" t="n">
        <f aca="false">-IF(L$538&gt;=1,Premissas!$F$52*(Premissas!$F$84+IF(L$538=6,Premissas!$F$85,0))*L544,0)</f>
        <v>-163406.056779994</v>
      </c>
      <c r="M558" s="36" t="n">
        <f aca="false">-IF(M$538&gt;=1,Premissas!$F$52*(Premissas!$F$84+IF(M$538=6,Premissas!$F$85,0))*M544,0)</f>
        <v>-168308.238483393</v>
      </c>
      <c r="N558" s="36" t="n">
        <f aca="false">-IF(N$538&gt;=1,Premissas!$F$52*(Premissas!$F$84+IF(N$538=6,Premissas!$F$85,0))*N544,0)</f>
        <v>-173357.485637895</v>
      </c>
      <c r="O558" s="36" t="n">
        <f aca="false">-IF(O$538&gt;=1,Premissas!$F$52*(Premissas!$F$84+IF(O$538=6,Premissas!$F$85,0))*O544,0)</f>
        <v>-178558.210207032</v>
      </c>
      <c r="P558" s="3"/>
    </row>
    <row r="559" customFormat="false" ht="15" hidden="false" customHeight="false" outlineLevel="0" collapsed="false">
      <c r="A559" s="3"/>
      <c r="B559" s="4" t="s">
        <v>419</v>
      </c>
      <c r="C559" s="36" t="n">
        <f aca="false">-Premissas!$F$52*Premissas!$F$53</f>
        <v>-5474000</v>
      </c>
      <c r="D559" s="36" t="n">
        <f aca="false">-Premissas!$F$52*Premissas!$F$54</f>
        <v>-5474000</v>
      </c>
      <c r="E559" s="36" t="n">
        <f aca="false">-Premissas!$F$52*Premissas!$F$55</f>
        <v>-16422000</v>
      </c>
      <c r="F559" s="36" t="n">
        <v>0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6" t="n">
        <v>0</v>
      </c>
      <c r="O559" s="36" t="n">
        <v>0</v>
      </c>
      <c r="P559" s="3"/>
    </row>
    <row r="560" customFormat="false" ht="15" hidden="false" customHeight="false" outlineLevel="0" collapsed="false">
      <c r="A560" s="3"/>
      <c r="B560" s="4" t="s">
        <v>420</v>
      </c>
      <c r="C560" s="36" t="n">
        <f aca="false">IF(C$538=10,Premissas!$F$52*Premissas!$C$35,0)</f>
        <v>0</v>
      </c>
      <c r="D560" s="36" t="n">
        <f aca="false">IF(D$538=10,Premissas!$F$52*Premissas!$C$35,0)</f>
        <v>0</v>
      </c>
      <c r="E560" s="36" t="n">
        <f aca="false">IF(E$538=10,Premissas!$F$52*Premissas!$C$35,0)</f>
        <v>0</v>
      </c>
      <c r="F560" s="36" t="n">
        <f aca="false">IF(F$538=10,Premissas!$F$52*Premissas!$C$35,0)</f>
        <v>0</v>
      </c>
      <c r="G560" s="36" t="n">
        <f aca="false">IF(G$538=10,Premissas!$F$52*Premissas!$C$35,0)</f>
        <v>0</v>
      </c>
      <c r="H560" s="36" t="n">
        <f aca="false">IF(H$538=10,Premissas!$F$52*Premissas!$C$35,0)</f>
        <v>0</v>
      </c>
      <c r="I560" s="36" t="n">
        <f aca="false">IF(I$538=10,Premissas!$F$52*Premissas!$C$35,0)</f>
        <v>0</v>
      </c>
      <c r="J560" s="36" t="n">
        <f aca="false">IF(J$538=10,Premissas!$F$52*Premissas!$C$35,0)</f>
        <v>0</v>
      </c>
      <c r="K560" s="36" t="n">
        <f aca="false">IF(K$538=10,Premissas!$F$52*Premissas!$C$35,0)</f>
        <v>0</v>
      </c>
      <c r="L560" s="36" t="n">
        <f aca="false">IF(L$538=10,Premissas!$F$52*Premissas!$C$35,0)</f>
        <v>0</v>
      </c>
      <c r="M560" s="36" t="n">
        <f aca="false">IF(M$538=10,Premissas!$F$52*Premissas!$C$35,0)</f>
        <v>0</v>
      </c>
      <c r="N560" s="36" t="n">
        <f aca="false">IF(N$538=10,Premissas!$F$52*Premissas!$C$35,0)</f>
        <v>0</v>
      </c>
      <c r="O560" s="36" t="n">
        <f aca="false">IF(O$538=10,Premissas!$F$52*Premissas!$C$35,0)</f>
        <v>15053500</v>
      </c>
      <c r="P560" s="3"/>
    </row>
    <row r="561" customFormat="false" ht="15" hidden="false" customHeight="false" outlineLevel="0" collapsed="false">
      <c r="A561" s="3"/>
      <c r="B561" s="14" t="s">
        <v>421</v>
      </c>
      <c r="C561" s="33" t="n">
        <f aca="false">C552+C556+C557+C558+C559+C560</f>
        <v>-5474000</v>
      </c>
      <c r="D561" s="33" t="n">
        <f aca="false">D552+D556+D557+D558+D559+D560</f>
        <v>-5474000</v>
      </c>
      <c r="E561" s="33" t="n">
        <f aca="false">E552+E556+E557+E558+E559+E560</f>
        <v>-16422000</v>
      </c>
      <c r="F561" s="33" t="n">
        <f aca="false">F552+F556+F557+F558+F559+F560</f>
        <v>-516158.960869565</v>
      </c>
      <c r="G561" s="33" t="n">
        <f aca="false">G552+G556+G557+G558+G559+G560</f>
        <v>-246920.384347827</v>
      </c>
      <c r="H561" s="33" t="n">
        <f aca="false">H552+H556+H557+H558+H559+H560</f>
        <v>-502879.595878261</v>
      </c>
      <c r="I561" s="33" t="n">
        <f aca="false">I552+I556+I557+I558+I559+I560</f>
        <v>-293098.48375461</v>
      </c>
      <c r="J561" s="33" t="n">
        <f aca="false">J552+J556+J557+J558+J559+J560</f>
        <v>-880566.594267249</v>
      </c>
      <c r="K561" s="33" t="n">
        <f aca="false">K552+K556+K557+K558+K559+K560</f>
        <v>-1612838.58126391</v>
      </c>
      <c r="L561" s="33" t="n">
        <f aca="false">L552+L556+L557+L558+L559+L560</f>
        <v>-370702.02348125</v>
      </c>
      <c r="M561" s="33" t="n">
        <f aca="false">M552+M556+M557+M558+M559+M560</f>
        <v>-706436.458036764</v>
      </c>
      <c r="N561" s="33" t="n">
        <f aca="false">N552+N556+N557+N558+N559+N560</f>
        <v>-428510.561613195</v>
      </c>
      <c r="O561" s="33" t="n">
        <f aca="false">O552+O556+O557+O558+O559+O560</f>
        <v>13811257.3428041</v>
      </c>
      <c r="P561" s="3"/>
    </row>
    <row r="562" customFormat="false" ht="15" hidden="false" customHeight="false" outlineLevel="0" collapsed="false">
      <c r="A562" s="3"/>
      <c r="B562" s="4" t="s">
        <v>422</v>
      </c>
      <c r="C562" s="36" t="n">
        <f aca="false">C561-C560</f>
        <v>-5474000</v>
      </c>
      <c r="D562" s="36" t="n">
        <f aca="false">C562+D561-D560</f>
        <v>-10948000</v>
      </c>
      <c r="E562" s="36" t="n">
        <f aca="false">D562+E561-E560</f>
        <v>-27370000</v>
      </c>
      <c r="F562" s="36" t="n">
        <f aca="false">E562+F561-F560</f>
        <v>-27886158.9608696</v>
      </c>
      <c r="G562" s="36" t="n">
        <f aca="false">F562+G561-G560</f>
        <v>-28133079.3452174</v>
      </c>
      <c r="H562" s="36" t="n">
        <f aca="false">G562+H561-H560</f>
        <v>-28635958.9410957</v>
      </c>
      <c r="I562" s="36" t="n">
        <f aca="false">H562+I561-I560</f>
        <v>-28929057.4248503</v>
      </c>
      <c r="J562" s="36" t="n">
        <f aca="false">I562+J561-J560</f>
        <v>-29809624.0191175</v>
      </c>
      <c r="K562" s="36" t="n">
        <f aca="false">J562+K561-K560</f>
        <v>-31422462.6003814</v>
      </c>
      <c r="L562" s="36" t="n">
        <f aca="false">K562+L561-L560</f>
        <v>-31793164.6238627</v>
      </c>
      <c r="M562" s="36" t="n">
        <f aca="false">L562+M561-M560</f>
        <v>-32499601.0818994</v>
      </c>
      <c r="N562" s="36" t="n">
        <f aca="false">M562+N561-N560</f>
        <v>-32928111.6435126</v>
      </c>
      <c r="O562" s="36" t="n">
        <f aca="false">N562+O561-O560</f>
        <v>-34170354.3007086</v>
      </c>
      <c r="P562" s="3"/>
    </row>
    <row r="563" customFormat="false" ht="15" hidden="false" customHeight="false" outlineLevel="0" collapsed="false">
      <c r="A563" s="3"/>
      <c r="B563" s="6" t="s">
        <v>423</v>
      </c>
      <c r="C563" s="46" t="n">
        <v>0</v>
      </c>
      <c r="D563" s="46" t="n">
        <v>0</v>
      </c>
      <c r="E563" s="46" t="n">
        <v>0</v>
      </c>
      <c r="F563" s="46" t="n">
        <f aca="false">IF(AND(E562&lt;0,F562&gt;=0),F$538-1+(-E562)/(F561-F560),0)</f>
        <v>0</v>
      </c>
      <c r="G563" s="46" t="n">
        <f aca="false">IF(AND(F562&lt;0,G562&gt;=0),G$538-1+(-F562)/(G561-G560),0)</f>
        <v>0</v>
      </c>
      <c r="H563" s="46" t="n">
        <f aca="false">IF(AND(G562&lt;0,H562&gt;=0),H$538-1+(-G562)/(H561-H560),0)</f>
        <v>0</v>
      </c>
      <c r="I563" s="46" t="n">
        <f aca="false">IF(AND(H562&lt;0,I562&gt;=0),I$538-1+(-H562)/(I561-I560),0)</f>
        <v>0</v>
      </c>
      <c r="J563" s="46" t="n">
        <f aca="false">IF(AND(I562&lt;0,J562&gt;=0),J$538-1+(-I562)/(J561-J560),0)</f>
        <v>0</v>
      </c>
      <c r="K563" s="46" t="n">
        <f aca="false">IF(AND(J562&lt;0,K562&gt;=0),K$538-1+(-J562)/(K561-K560),0)</f>
        <v>0</v>
      </c>
      <c r="L563" s="46" t="n">
        <f aca="false">IF(AND(K562&lt;0,L562&gt;=0),L$538-1+(-K562)/(L561-L560),0)</f>
        <v>0</v>
      </c>
      <c r="M563" s="46" t="n">
        <f aca="false">IF(AND(L562&lt;0,M562&gt;=0),M$538-1+(-L562)/(M561-M560),0)</f>
        <v>0</v>
      </c>
      <c r="N563" s="46" t="n">
        <f aca="false">IF(AND(M562&lt;0,N562&gt;=0),N$538-1+(-M562)/(N561-N560),0)</f>
        <v>0</v>
      </c>
      <c r="O563" s="46" t="n">
        <f aca="false">IF(AND(N562&lt;0,O562&gt;=0),O$538-1+(-N562)/(O561-O560),0)</f>
        <v>0</v>
      </c>
      <c r="P563" s="3"/>
    </row>
    <row r="564" customFormat="false" ht="15" hidden="false" customHeight="false" outlineLevel="0" collapsed="false">
      <c r="A564" s="3"/>
      <c r="B564" s="14" t="s">
        <v>424</v>
      </c>
      <c r="C564" s="47" t="n">
        <f aca="false">IFERROR(IRR(C561:O561,0.05),IFERROR(IRR(C561:O561,-0.05),IF(SUM(C561:O561)&lt;0,"negativa","n/d")))</f>
        <v>-0.0897155649772593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customFormat="false" ht="15" hidden="false" customHeight="false" outlineLevel="0" collapsed="false">
      <c r="A565" s="3"/>
      <c r="B565" s="14" t="s">
        <v>425</v>
      </c>
      <c r="C565" s="48" t="n">
        <f aca="false">C561*(1+Premissas!$B$10)^2+D561*(1+Premissas!$B$10)+E561+NPV(Premissas!$B$10,F561:O561)</f>
        <v>-27152100.1468289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customFormat="false" ht="15" hidden="false" customHeight="false" outlineLevel="0" collapsed="false">
      <c r="A566" s="3"/>
      <c r="B566" s="14" t="s">
        <v>426</v>
      </c>
      <c r="C566" s="49" t="str">
        <f aca="false">IF(SUM(F563:O563)=0,"&gt; 10",SUM(F563:O563))</f>
        <v>&gt; 10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customFormat="false" ht="15" hidden="false" customHeight="false" outlineLevel="0" collapsed="false">
      <c r="A567" s="3"/>
      <c r="B567" s="14" t="s">
        <v>427</v>
      </c>
      <c r="C567" s="47" t="n">
        <f aca="false">SUM(C561:O561)/-SUM(C559:E559)</f>
        <v>-0.698460149824938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customFormat="false" ht="15" hidden="false" customHeight="false" outlineLevel="0" collapsed="false">
      <c r="A568" s="3"/>
      <c r="B568" s="14" t="s">
        <v>428</v>
      </c>
      <c r="C568" s="47" t="n">
        <f aca="false">AVERAGE(F555:O555)*(1-Premissas!$B$11)/-SUM(C559:E559)</f>
        <v>-0.0347057379976836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customFormat="false" ht="15" hidden="false" customHeight="false" outlineLevel="0" collapsed="false">
      <c r="A569" s="3"/>
      <c r="B569" s="14" t="s">
        <v>429</v>
      </c>
      <c r="C569" s="48" t="n">
        <f aca="false">H552</f>
        <v>-124297.430878261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customFormat="false" ht="15" hidden="false" customHeight="false" outlineLevel="0" collapsed="false">
      <c r="A570" s="3"/>
      <c r="B570" s="14" t="s">
        <v>430</v>
      </c>
      <c r="C570" s="48" t="n">
        <f aca="false">H549</f>
        <v>3106488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customFormat="false" ht="15" hidden="false" customHeight="false" outlineLevel="0" collapsed="false">
      <c r="A571" s="3"/>
      <c r="B571" s="14" t="s">
        <v>431</v>
      </c>
      <c r="C571" s="47" t="n">
        <f aca="false">H553</f>
        <v>-0.0400122037742496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customFormat="false" ht="15" hidden="false" customHeight="false" outlineLevel="0" collapsed="false">
      <c r="A572" s="3"/>
      <c r="B572" s="14" t="s">
        <v>432</v>
      </c>
      <c r="C572" s="48" t="n">
        <f aca="false">-(H550+H551)</f>
        <v>3230785.43087826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customFormat="false" ht="15" hidden="false" customHeight="false" outlineLevel="0" collapsed="false">
      <c r="A573" s="3"/>
      <c r="B573" s="14" t="s">
        <v>433</v>
      </c>
      <c r="C573" s="50" t="n">
        <f aca="false">IFERROR(-H551/((H549+H550)/H539),"n/d")</f>
        <v>27.4685371236168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customFormat="false" ht="15" hidden="false" customHeight="false" outlineLevel="0" collapsed="false">
      <c r="A574" s="3"/>
      <c r="B574" s="14" t="s">
        <v>434</v>
      </c>
      <c r="C574" s="48" t="n">
        <f aca="false">-SUM(C559:E559)</f>
        <v>27370000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customFormat="false" ht="15" hidden="false" customHeight="false" outlineLevel="0" collapsed="false">
      <c r="A575" s="3"/>
      <c r="B575" s="14" t="s">
        <v>435</v>
      </c>
      <c r="C575" s="48" t="n">
        <f aca="false">O560</f>
        <v>15053500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customFormat="false" ht="15" hidden="false" customHeight="false" outlineLevel="0" collapsed="false">
      <c r="A578" s="3"/>
      <c r="B578" s="19" t="s">
        <v>449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customFormat="false" ht="15" hidden="false" customHeight="false" outlineLevel="0" collapsed="false">
      <c r="A579" s="3"/>
      <c r="B579" s="14" t="s">
        <v>398</v>
      </c>
      <c r="C579" s="44" t="n">
        <v>-2</v>
      </c>
      <c r="D579" s="44" t="n">
        <v>-1</v>
      </c>
      <c r="E579" s="44" t="n">
        <v>0</v>
      </c>
      <c r="F579" s="44" t="n">
        <v>1</v>
      </c>
      <c r="G579" s="44" t="n">
        <v>2</v>
      </c>
      <c r="H579" s="44" t="n">
        <v>3</v>
      </c>
      <c r="I579" s="44" t="n">
        <v>4</v>
      </c>
      <c r="J579" s="44" t="n">
        <v>5</v>
      </c>
      <c r="K579" s="44" t="n">
        <v>6</v>
      </c>
      <c r="L579" s="44" t="n">
        <v>7</v>
      </c>
      <c r="M579" s="44" t="n">
        <v>8</v>
      </c>
      <c r="N579" s="44" t="n">
        <v>9</v>
      </c>
      <c r="O579" s="44" t="n">
        <v>10</v>
      </c>
      <c r="P579" s="3"/>
    </row>
    <row r="580" customFormat="false" ht="15" hidden="false" customHeight="false" outlineLevel="0" collapsed="false">
      <c r="A580" s="3"/>
      <c r="B580" s="4" t="s">
        <v>399</v>
      </c>
      <c r="C580" s="39" t="n">
        <f aca="false">IF(C$579&gt;=1,Premissas!$D$29*IF(C$579=1,Premissas!$D$37,1),0)</f>
        <v>0</v>
      </c>
      <c r="D580" s="39" t="n">
        <f aca="false">IF(D$579&gt;=1,Premissas!$D$29*IF(D$579=1,Premissas!$D$37,1),0)</f>
        <v>0</v>
      </c>
      <c r="E580" s="39" t="n">
        <f aca="false">IF(E$579&gt;=1,Premissas!$D$29*IF(E$579=1,Premissas!$D$37,1),0)</f>
        <v>0</v>
      </c>
      <c r="F580" s="39" t="n">
        <f aca="false">IF(F$579&gt;=1,Premissas!$D$29*IF(F$579=1,Premissas!$D$37,1),0)</f>
        <v>28.5</v>
      </c>
      <c r="G580" s="39" t="n">
        <f aca="false">IF(G$579&gt;=1,Premissas!$D$29*IF(G$579=1,Premissas!$D$37,1),0)</f>
        <v>30</v>
      </c>
      <c r="H580" s="39" t="n">
        <f aca="false">IF(H$579&gt;=1,Premissas!$D$29*IF(H$579=1,Premissas!$D$37,1),0)</f>
        <v>30</v>
      </c>
      <c r="I580" s="39" t="n">
        <f aca="false">IF(I$579&gt;=1,Premissas!$D$29*IF(I$579=1,Premissas!$D$37,1),0)</f>
        <v>30</v>
      </c>
      <c r="J580" s="39" t="n">
        <f aca="false">IF(J$579&gt;=1,Premissas!$D$29*IF(J$579=1,Premissas!$D$37,1),0)</f>
        <v>30</v>
      </c>
      <c r="K580" s="39" t="n">
        <f aca="false">IF(K$579&gt;=1,Premissas!$D$29*IF(K$579=1,Premissas!$D$37,1),0)</f>
        <v>30</v>
      </c>
      <c r="L580" s="39" t="n">
        <f aca="false">IF(L$579&gt;=1,Premissas!$D$29*IF(L$579=1,Premissas!$D$37,1),0)</f>
        <v>30</v>
      </c>
      <c r="M580" s="39" t="n">
        <f aca="false">IF(M$579&gt;=1,Premissas!$D$29*IF(M$579=1,Premissas!$D$37,1),0)</f>
        <v>30</v>
      </c>
      <c r="N580" s="39" t="n">
        <f aca="false">IF(N$579&gt;=1,Premissas!$D$29*IF(N$579=1,Premissas!$D$37,1),0)</f>
        <v>30</v>
      </c>
      <c r="O580" s="39" t="n">
        <f aca="false">IF(O$579&gt;=1,Premissas!$D$29*IF(O$579=1,Premissas!$D$37,1),0)</f>
        <v>30</v>
      </c>
      <c r="P580" s="3"/>
    </row>
    <row r="581" customFormat="false" ht="15" hidden="false" customHeight="false" outlineLevel="0" collapsed="false">
      <c r="A581" s="3"/>
      <c r="B581" s="4" t="s">
        <v>400</v>
      </c>
      <c r="C581" s="39" t="n">
        <f aca="false">MIN(C580,Premissas!$D$30)</f>
        <v>0</v>
      </c>
      <c r="D581" s="39" t="n">
        <f aca="false">MIN(D580,Premissas!$D$30)</f>
        <v>0</v>
      </c>
      <c r="E581" s="39" t="n">
        <f aca="false">MIN(E580,Premissas!$D$30)</f>
        <v>0</v>
      </c>
      <c r="F581" s="39" t="n">
        <f aca="false">MIN(F580,Premissas!$D$30)</f>
        <v>12</v>
      </c>
      <c r="G581" s="39" t="n">
        <f aca="false">MIN(G580,Premissas!$D$30)</f>
        <v>12</v>
      </c>
      <c r="H581" s="39" t="n">
        <f aca="false">MIN(H580,Premissas!$D$30)</f>
        <v>12</v>
      </c>
      <c r="I581" s="39" t="n">
        <f aca="false">MIN(I580,Premissas!$D$30)</f>
        <v>12</v>
      </c>
      <c r="J581" s="39" t="n">
        <f aca="false">MIN(J580,Premissas!$D$30)</f>
        <v>12</v>
      </c>
      <c r="K581" s="39" t="n">
        <f aca="false">MIN(K580,Premissas!$D$30)</f>
        <v>12</v>
      </c>
      <c r="L581" s="39" t="n">
        <f aca="false">MIN(L580,Premissas!$D$30)</f>
        <v>12</v>
      </c>
      <c r="M581" s="39" t="n">
        <f aca="false">MIN(M580,Premissas!$D$30)</f>
        <v>12</v>
      </c>
      <c r="N581" s="39" t="n">
        <f aca="false">MIN(N580,Premissas!$D$30)</f>
        <v>12</v>
      </c>
      <c r="O581" s="39" t="n">
        <f aca="false">MIN(O580,Premissas!$D$30)</f>
        <v>12</v>
      </c>
      <c r="P581" s="3"/>
    </row>
    <row r="582" customFormat="false" ht="15" hidden="false" customHeight="false" outlineLevel="0" collapsed="false">
      <c r="A582" s="3"/>
      <c r="B582" s="4" t="s">
        <v>401</v>
      </c>
      <c r="C582" s="39" t="n">
        <f aca="false">MIN(C580-C581,Premissas!$D$31)</f>
        <v>0</v>
      </c>
      <c r="D582" s="39" t="n">
        <f aca="false">MIN(D580-D581,Premissas!$D$31)</f>
        <v>0</v>
      </c>
      <c r="E582" s="39" t="n">
        <f aca="false">MIN(E580-E581,Premissas!$D$31)</f>
        <v>0</v>
      </c>
      <c r="F582" s="39" t="n">
        <f aca="false">MIN(F580-F581,Premissas!$D$31)</f>
        <v>4</v>
      </c>
      <c r="G582" s="39" t="n">
        <f aca="false">MIN(G580-G581,Premissas!$D$31)</f>
        <v>4</v>
      </c>
      <c r="H582" s="39" t="n">
        <f aca="false">MIN(H580-H581,Premissas!$D$31)</f>
        <v>4</v>
      </c>
      <c r="I582" s="39" t="n">
        <f aca="false">MIN(I580-I581,Premissas!$D$31)</f>
        <v>4</v>
      </c>
      <c r="J582" s="39" t="n">
        <f aca="false">MIN(J580-J581,Premissas!$D$31)</f>
        <v>4</v>
      </c>
      <c r="K582" s="39" t="n">
        <f aca="false">MIN(K580-K581,Premissas!$D$31)</f>
        <v>4</v>
      </c>
      <c r="L582" s="39" t="n">
        <f aca="false">MIN(L580-L581,Premissas!$D$31)</f>
        <v>4</v>
      </c>
      <c r="M582" s="39" t="n">
        <f aca="false">MIN(M580-M581,Premissas!$D$31)</f>
        <v>4</v>
      </c>
      <c r="N582" s="39" t="n">
        <f aca="false">MIN(N580-N581,Premissas!$D$31)</f>
        <v>4</v>
      </c>
      <c r="O582" s="39" t="n">
        <f aca="false">MIN(O580-O581,Premissas!$D$31)</f>
        <v>4</v>
      </c>
      <c r="P582" s="3"/>
    </row>
    <row r="583" customFormat="false" ht="15" hidden="false" customHeight="false" outlineLevel="0" collapsed="false">
      <c r="A583" s="3"/>
      <c r="B583" s="4" t="s">
        <v>402</v>
      </c>
      <c r="C583" s="39" t="n">
        <f aca="false">C580-C581-C582</f>
        <v>0</v>
      </c>
      <c r="D583" s="39" t="n">
        <f aca="false">D580-D581-D582</f>
        <v>0</v>
      </c>
      <c r="E583" s="39" t="n">
        <f aca="false">E580-E581-E582</f>
        <v>0</v>
      </c>
      <c r="F583" s="39" t="n">
        <f aca="false">F580-F581-F582</f>
        <v>12.5</v>
      </c>
      <c r="G583" s="39" t="n">
        <f aca="false">G580-G581-G582</f>
        <v>14</v>
      </c>
      <c r="H583" s="39" t="n">
        <f aca="false">H580-H581-H582</f>
        <v>14</v>
      </c>
      <c r="I583" s="39" t="n">
        <f aca="false">I580-I581-I582</f>
        <v>14</v>
      </c>
      <c r="J583" s="39" t="n">
        <f aca="false">J580-J581-J582</f>
        <v>14</v>
      </c>
      <c r="K583" s="39" t="n">
        <f aca="false">K580-K581-K582</f>
        <v>14</v>
      </c>
      <c r="L583" s="39" t="n">
        <f aca="false">L580-L581-L582</f>
        <v>14</v>
      </c>
      <c r="M583" s="39" t="n">
        <f aca="false">M580-M581-M582</f>
        <v>14</v>
      </c>
      <c r="N583" s="39" t="n">
        <f aca="false">N580-N581-N582</f>
        <v>14</v>
      </c>
      <c r="O583" s="39" t="n">
        <f aca="false">O580-O581-O582</f>
        <v>14</v>
      </c>
      <c r="P583" s="3"/>
    </row>
    <row r="584" customFormat="false" ht="15" hidden="false" customHeight="false" outlineLevel="0" collapsed="false">
      <c r="A584" s="3"/>
      <c r="B584" s="4" t="s">
        <v>403</v>
      </c>
      <c r="C584" s="45" t="n">
        <f aca="false">IF(C$579&gt;=1,(1+Premissas!$B$8)^(C$579-1),0)</f>
        <v>0</v>
      </c>
      <c r="D584" s="45" t="n">
        <f aca="false">IF(D$579&gt;=1,(1+Premissas!$B$8)^(D$579-1),0)</f>
        <v>0</v>
      </c>
      <c r="E584" s="45" t="n">
        <f aca="false">IF(E$579&gt;=1,(1+Premissas!$B$8)^(E$579-1),0)</f>
        <v>0</v>
      </c>
      <c r="F584" s="45" t="n">
        <f aca="false">IF(F$579&gt;=1,(1+Premissas!$B$8)^(F$579-1),0)</f>
        <v>1</v>
      </c>
      <c r="G584" s="45" t="n">
        <f aca="false">IF(G$579&gt;=1,(1+Premissas!$B$8)^(G$579-1),0)</f>
        <v>1.025</v>
      </c>
      <c r="H584" s="45" t="n">
        <f aca="false">IF(H$579&gt;=1,(1+Premissas!$B$8)^(H$579-1),0)</f>
        <v>1.050625</v>
      </c>
      <c r="I584" s="45" t="n">
        <f aca="false">IF(I$579&gt;=1,(1+Premissas!$B$8)^(I$579-1),0)</f>
        <v>1.076890625</v>
      </c>
      <c r="J584" s="45" t="n">
        <f aca="false">IF(J$579&gt;=1,(1+Premissas!$B$8)^(J$579-1),0)</f>
        <v>1.103812890625</v>
      </c>
      <c r="K584" s="45" t="n">
        <f aca="false">IF(K$579&gt;=1,(1+Premissas!$B$8)^(K$579-1),0)</f>
        <v>1.13140821289062</v>
      </c>
      <c r="L584" s="45" t="n">
        <f aca="false">IF(L$579&gt;=1,(1+Premissas!$B$8)^(L$579-1),0)</f>
        <v>1.15969341821289</v>
      </c>
      <c r="M584" s="45" t="n">
        <f aca="false">IF(M$579&gt;=1,(1+Premissas!$B$8)^(M$579-1),0)</f>
        <v>1.18868575366821</v>
      </c>
      <c r="N584" s="45" t="n">
        <f aca="false">IF(N$579&gt;=1,(1+Premissas!$B$8)^(N$579-1),0)</f>
        <v>1.21840289750992</v>
      </c>
      <c r="O584" s="45" t="n">
        <f aca="false">IF(O$579&gt;=1,(1+Premissas!$B$8)^(O$579-1),0)</f>
        <v>1.24886296994767</v>
      </c>
      <c r="P584" s="3"/>
    </row>
    <row r="585" customFormat="false" ht="15" hidden="false" customHeight="false" outlineLevel="0" collapsed="false">
      <c r="A585" s="3"/>
      <c r="B585" s="4" t="s">
        <v>404</v>
      </c>
      <c r="C585" s="45" t="n">
        <f aca="false">IF(C$579&gt;=1,(1+Premissas!$B$9)^(C$579-1),0)</f>
        <v>0</v>
      </c>
      <c r="D585" s="45" t="n">
        <f aca="false">IF(D$579&gt;=1,(1+Premissas!$B$9)^(D$579-1),0)</f>
        <v>0</v>
      </c>
      <c r="E585" s="45" t="n">
        <f aca="false">IF(E$579&gt;=1,(1+Premissas!$B$9)^(E$579-1),0)</f>
        <v>0</v>
      </c>
      <c r="F585" s="45" t="n">
        <f aca="false">IF(F$579&gt;=1,(1+Premissas!$B$9)^(F$579-1),0)</f>
        <v>1</v>
      </c>
      <c r="G585" s="45" t="n">
        <f aca="false">IF(G$579&gt;=1,(1+Premissas!$B$9)^(G$579-1),0)</f>
        <v>1.03</v>
      </c>
      <c r="H585" s="45" t="n">
        <f aca="false">IF(H$579&gt;=1,(1+Premissas!$B$9)^(H$579-1),0)</f>
        <v>1.0609</v>
      </c>
      <c r="I585" s="45" t="n">
        <f aca="false">IF(I$579&gt;=1,(1+Premissas!$B$9)^(I$579-1),0)</f>
        <v>1.092727</v>
      </c>
      <c r="J585" s="45" t="n">
        <f aca="false">IF(J$579&gt;=1,(1+Premissas!$B$9)^(J$579-1),0)</f>
        <v>1.12550881</v>
      </c>
      <c r="K585" s="45" t="n">
        <f aca="false">IF(K$579&gt;=1,(1+Premissas!$B$9)^(K$579-1),0)</f>
        <v>1.1592740743</v>
      </c>
      <c r="L585" s="45" t="n">
        <f aca="false">IF(L$579&gt;=1,(1+Premissas!$B$9)^(L$579-1),0)</f>
        <v>1.194052296529</v>
      </c>
      <c r="M585" s="45" t="n">
        <f aca="false">IF(M$579&gt;=1,(1+Premissas!$B$9)^(M$579-1),0)</f>
        <v>1.22987386542487</v>
      </c>
      <c r="N585" s="45" t="n">
        <f aca="false">IF(N$579&gt;=1,(1+Premissas!$B$9)^(N$579-1),0)</f>
        <v>1.26677008138762</v>
      </c>
      <c r="O585" s="45" t="n">
        <f aca="false">IF(O$579&gt;=1,(1+Premissas!$B$9)^(O$579-1),0)</f>
        <v>1.30477318382925</v>
      </c>
      <c r="P585" s="3"/>
    </row>
    <row r="586" customFormat="false" ht="15" hidden="false" customHeight="false" outlineLevel="0" collapsed="false">
      <c r="A586" s="3"/>
      <c r="B586" s="4" t="s">
        <v>405</v>
      </c>
      <c r="C586" s="36" t="n">
        <f aca="false">C581*Premissas!$F$77*Premissas!$D$32*C584</f>
        <v>0</v>
      </c>
      <c r="D586" s="36" t="n">
        <f aca="false">D581*Premissas!$F$77*Premissas!$D$32*D584</f>
        <v>0</v>
      </c>
      <c r="E586" s="36" t="n">
        <f aca="false">E581*Premissas!$F$77*Premissas!$D$32*E584</f>
        <v>0</v>
      </c>
      <c r="F586" s="36" t="n">
        <f aca="false">F581*Premissas!$F$77*Premissas!$D$32*F584</f>
        <v>1584000</v>
      </c>
      <c r="G586" s="36" t="n">
        <f aca="false">G581*Premissas!$F$77*Premissas!$D$32*G584</f>
        <v>1623600</v>
      </c>
      <c r="H586" s="36" t="n">
        <f aca="false">H581*Premissas!$F$77*Premissas!$D$32*H584</f>
        <v>1664190</v>
      </c>
      <c r="I586" s="36" t="n">
        <f aca="false">I581*Premissas!$F$77*Premissas!$D$32*I584</f>
        <v>1705794.75</v>
      </c>
      <c r="J586" s="36" t="n">
        <f aca="false">J581*Premissas!$F$77*Premissas!$D$32*J584</f>
        <v>1748439.61875</v>
      </c>
      <c r="K586" s="36" t="n">
        <f aca="false">K581*Premissas!$F$77*Premissas!$D$32*K584</f>
        <v>1792150.60921875</v>
      </c>
      <c r="L586" s="36" t="n">
        <f aca="false">L581*Premissas!$F$77*Premissas!$D$32*L584</f>
        <v>1836954.37444922</v>
      </c>
      <c r="M586" s="36" t="n">
        <f aca="false">M581*Premissas!$F$77*Premissas!$D$32*M584</f>
        <v>1882878.23381045</v>
      </c>
      <c r="N586" s="36" t="n">
        <f aca="false">N581*Premissas!$F$77*Premissas!$D$32*N584</f>
        <v>1929950.18965571</v>
      </c>
      <c r="O586" s="36" t="n">
        <f aca="false">O581*Premissas!$F$77*Premissas!$D$32*O584</f>
        <v>1978198.9443971</v>
      </c>
      <c r="P586" s="3"/>
    </row>
    <row r="587" customFormat="false" ht="15" hidden="false" customHeight="false" outlineLevel="0" collapsed="false">
      <c r="A587" s="3"/>
      <c r="B587" s="4" t="s">
        <v>406</v>
      </c>
      <c r="C587" s="36" t="n">
        <f aca="false">C583*Premissas!$F$77*Premissas!$D$32*(1-Premissas!$B$12)*C584</f>
        <v>0</v>
      </c>
      <c r="D587" s="36" t="n">
        <f aca="false">D583*Premissas!$F$77*Premissas!$D$32*(1-Premissas!$B$12)*D584</f>
        <v>0</v>
      </c>
      <c r="E587" s="36" t="n">
        <f aca="false">E583*Premissas!$F$77*Premissas!$D$32*(1-Premissas!$B$12)*E584</f>
        <v>0</v>
      </c>
      <c r="F587" s="36" t="n">
        <f aca="false">F583*Premissas!$F$77*Premissas!$D$32*(1-Premissas!$B$12)*F584</f>
        <v>1402500</v>
      </c>
      <c r="G587" s="36" t="n">
        <f aca="false">G583*Premissas!$F$77*Premissas!$D$32*(1-Premissas!$B$12)*G584</f>
        <v>1610070</v>
      </c>
      <c r="H587" s="36" t="n">
        <f aca="false">H583*Premissas!$F$77*Premissas!$D$32*(1-Premissas!$B$12)*H584</f>
        <v>1650321.75</v>
      </c>
      <c r="I587" s="36" t="n">
        <f aca="false">I583*Premissas!$F$77*Premissas!$D$32*(1-Premissas!$B$12)*I584</f>
        <v>1691579.79375</v>
      </c>
      <c r="J587" s="36" t="n">
        <f aca="false">J583*Premissas!$F$77*Premissas!$D$32*(1-Premissas!$B$12)*J584</f>
        <v>1733869.28859375</v>
      </c>
      <c r="K587" s="36" t="n">
        <f aca="false">K583*Premissas!$F$77*Premissas!$D$32*(1-Premissas!$B$12)*K584</f>
        <v>1777216.02080859</v>
      </c>
      <c r="L587" s="36" t="n">
        <f aca="false">L583*Premissas!$F$77*Premissas!$D$32*(1-Premissas!$B$12)*L584</f>
        <v>1821646.42132881</v>
      </c>
      <c r="M587" s="36" t="n">
        <f aca="false">M583*Premissas!$F$77*Premissas!$D$32*(1-Premissas!$B$12)*M584</f>
        <v>1867187.58186203</v>
      </c>
      <c r="N587" s="36" t="n">
        <f aca="false">N583*Premissas!$F$77*Premissas!$D$32*(1-Premissas!$B$12)*N584</f>
        <v>1913867.27140858</v>
      </c>
      <c r="O587" s="36" t="n">
        <f aca="false">O583*Premissas!$F$77*Premissas!$D$32*(1-Premissas!$B$12)*O584</f>
        <v>1961713.95319379</v>
      </c>
      <c r="P587" s="3"/>
    </row>
    <row r="588" customFormat="false" ht="15" hidden="false" customHeight="false" outlineLevel="0" collapsed="false">
      <c r="A588" s="3"/>
      <c r="B588" s="4" t="s">
        <v>407</v>
      </c>
      <c r="C588" s="36" t="n">
        <f aca="false">C582*Premissas!$F$44*Premissas!$D$38*Premissas!$F$78*Premissas!$D$32*(1-Premissas!$B$12)*C584</f>
        <v>0</v>
      </c>
      <c r="D588" s="36" t="n">
        <f aca="false">D582*Premissas!$F$44*Premissas!$D$38*Premissas!$F$78*Premissas!$D$32*(1-Premissas!$B$12)*D584</f>
        <v>0</v>
      </c>
      <c r="E588" s="36" t="n">
        <f aca="false">E582*Premissas!$F$44*Premissas!$D$38*Premissas!$F$78*Premissas!$D$32*(1-Premissas!$B$12)*E584</f>
        <v>0</v>
      </c>
      <c r="F588" s="36" t="n">
        <f aca="false">F582*Premissas!$F$44*Premissas!$D$38*Premissas!$F$78*Premissas!$D$32*(1-Premissas!$B$12)*F584</f>
        <v>534072</v>
      </c>
      <c r="G588" s="36" t="n">
        <f aca="false">G582*Premissas!$F$44*Premissas!$D$38*Premissas!$F$78*Premissas!$D$32*(1-Premissas!$B$12)*G584</f>
        <v>547423.8</v>
      </c>
      <c r="H588" s="36" t="n">
        <f aca="false">H582*Premissas!$F$44*Premissas!$D$38*Premissas!$F$78*Premissas!$D$32*(1-Premissas!$B$12)*H584</f>
        <v>561109.395</v>
      </c>
      <c r="I588" s="36" t="n">
        <f aca="false">I582*Premissas!$F$44*Premissas!$D$38*Premissas!$F$78*Premissas!$D$32*(1-Premissas!$B$12)*I584</f>
        <v>575137.129875</v>
      </c>
      <c r="J588" s="36" t="n">
        <f aca="false">J582*Premissas!$F$44*Premissas!$D$38*Premissas!$F$78*Premissas!$D$32*(1-Premissas!$B$12)*J584</f>
        <v>589515.558121875</v>
      </c>
      <c r="K588" s="36" t="n">
        <f aca="false">K582*Premissas!$F$44*Premissas!$D$38*Premissas!$F$78*Premissas!$D$32*(1-Premissas!$B$12)*K584</f>
        <v>604253.447074922</v>
      </c>
      <c r="L588" s="36" t="n">
        <f aca="false">L582*Premissas!$F$44*Premissas!$D$38*Premissas!$F$78*Premissas!$D$32*(1-Premissas!$B$12)*L584</f>
        <v>619359.783251795</v>
      </c>
      <c r="M588" s="36" t="n">
        <f aca="false">M582*Premissas!$F$44*Premissas!$D$38*Premissas!$F$78*Premissas!$D$32*(1-Premissas!$B$12)*M584</f>
        <v>634843.77783309</v>
      </c>
      <c r="N588" s="36" t="n">
        <f aca="false">N582*Premissas!$F$44*Premissas!$D$38*Premissas!$F$78*Premissas!$D$32*(1-Premissas!$B$12)*N584</f>
        <v>650714.872278917</v>
      </c>
      <c r="O588" s="36" t="n">
        <f aca="false">O582*Premissas!$F$44*Premissas!$D$38*Premissas!$F$78*Premissas!$D$32*(1-Premissas!$B$12)*O584</f>
        <v>666982.744085889</v>
      </c>
      <c r="P588" s="3"/>
    </row>
    <row r="589" customFormat="false" ht="15" hidden="false" customHeight="false" outlineLevel="0" collapsed="false">
      <c r="A589" s="3"/>
      <c r="B589" s="4" t="s">
        <v>408</v>
      </c>
      <c r="C589" s="36" t="n">
        <f aca="false">C580*Premissas!$F$44*Premissas!$B$14*Premissas!$B$13*C584</f>
        <v>0</v>
      </c>
      <c r="D589" s="36" t="n">
        <f aca="false">D580*Premissas!$F$44*Premissas!$B$14*Premissas!$B$13*D584</f>
        <v>0</v>
      </c>
      <c r="E589" s="36" t="n">
        <f aca="false">E580*Premissas!$F$44*Premissas!$B$14*Premissas!$B$13*E584</f>
        <v>0</v>
      </c>
      <c r="F589" s="36" t="n">
        <f aca="false">F580*Premissas!$F$44*Premissas!$B$14*Premissas!$B$13*F584</f>
        <v>153900</v>
      </c>
      <c r="G589" s="36" t="n">
        <f aca="false">G580*Premissas!$F$44*Premissas!$B$14*Premissas!$B$13*G584</f>
        <v>166050</v>
      </c>
      <c r="H589" s="36" t="n">
        <f aca="false">H580*Premissas!$F$44*Premissas!$B$14*Premissas!$B$13*H584</f>
        <v>170201.25</v>
      </c>
      <c r="I589" s="36" t="n">
        <f aca="false">I580*Premissas!$F$44*Premissas!$B$14*Premissas!$B$13*I584</f>
        <v>174456.28125</v>
      </c>
      <c r="J589" s="36" t="n">
        <f aca="false">J580*Premissas!$F$44*Premissas!$B$14*Premissas!$B$13*J584</f>
        <v>178817.68828125</v>
      </c>
      <c r="K589" s="36" t="n">
        <f aca="false">K580*Premissas!$F$44*Premissas!$B$14*Premissas!$B$13*K584</f>
        <v>183288.130488281</v>
      </c>
      <c r="L589" s="36" t="n">
        <f aca="false">L580*Premissas!$F$44*Premissas!$B$14*Premissas!$B$13*L584</f>
        <v>187870.333750488</v>
      </c>
      <c r="M589" s="36" t="n">
        <f aca="false">M580*Premissas!$F$44*Premissas!$B$14*Premissas!$B$13*M584</f>
        <v>192567.09209425</v>
      </c>
      <c r="N589" s="36" t="n">
        <f aca="false">N580*Premissas!$F$44*Premissas!$B$14*Premissas!$B$13*N584</f>
        <v>197381.269396607</v>
      </c>
      <c r="O589" s="36" t="n">
        <f aca="false">O580*Premissas!$F$44*Premissas!$B$14*Premissas!$B$13*O584</f>
        <v>202315.801131522</v>
      </c>
      <c r="P589" s="3"/>
    </row>
    <row r="590" customFormat="false" ht="15" hidden="false" customHeight="false" outlineLevel="0" collapsed="false">
      <c r="A590" s="3"/>
      <c r="B590" s="14" t="s">
        <v>409</v>
      </c>
      <c r="C590" s="33" t="n">
        <f aca="false">SUM(C586:C589)</f>
        <v>0</v>
      </c>
      <c r="D590" s="33" t="n">
        <f aca="false">SUM(D586:D589)</f>
        <v>0</v>
      </c>
      <c r="E590" s="33" t="n">
        <f aca="false">SUM(E586:E589)</f>
        <v>0</v>
      </c>
      <c r="F590" s="33" t="n">
        <f aca="false">SUM(F586:F589)</f>
        <v>3674472</v>
      </c>
      <c r="G590" s="33" t="n">
        <f aca="false">SUM(G586:G589)</f>
        <v>3947143.8</v>
      </c>
      <c r="H590" s="33" t="n">
        <f aca="false">SUM(H586:H589)</f>
        <v>4045822.395</v>
      </c>
      <c r="I590" s="33" t="n">
        <f aca="false">SUM(I586:I589)</f>
        <v>4146967.954875</v>
      </c>
      <c r="J590" s="33" t="n">
        <f aca="false">SUM(J586:J589)</f>
        <v>4250642.15374687</v>
      </c>
      <c r="K590" s="33" t="n">
        <f aca="false">SUM(K586:K589)</f>
        <v>4356908.20759055</v>
      </c>
      <c r="L590" s="33" t="n">
        <f aca="false">SUM(L586:L589)</f>
        <v>4465830.91278031</v>
      </c>
      <c r="M590" s="33" t="n">
        <f aca="false">SUM(M586:M589)</f>
        <v>4577476.68559982</v>
      </c>
      <c r="N590" s="33" t="n">
        <f aca="false">SUM(N586:N589)</f>
        <v>4691913.60273981</v>
      </c>
      <c r="O590" s="33" t="n">
        <f aca="false">SUM(O586:O589)</f>
        <v>4809211.44280831</v>
      </c>
      <c r="P590" s="3"/>
    </row>
    <row r="591" customFormat="false" ht="15" hidden="false" customHeight="false" outlineLevel="0" collapsed="false">
      <c r="A591" s="3"/>
      <c r="B591" s="4" t="s">
        <v>410</v>
      </c>
      <c r="C591" s="36" t="n">
        <f aca="false">-C580*(Premissas!$F$70*Premissas!$D$34/Premissas!$B$6+Premissas!$F$75)*Premissas!$D$33*C585</f>
        <v>-0</v>
      </c>
      <c r="D591" s="36" t="n">
        <f aca="false">-D580*(Premissas!$F$70*Premissas!$D$34/Premissas!$B$6+Premissas!$F$75)*Premissas!$D$33*D585</f>
        <v>-0</v>
      </c>
      <c r="E591" s="36" t="n">
        <f aca="false">-E580*(Premissas!$F$70*Premissas!$D$34/Premissas!$B$6+Premissas!$F$75)*Premissas!$D$33*E585</f>
        <v>-0</v>
      </c>
      <c r="F591" s="36" t="n">
        <f aca="false">-F580*(Premissas!$F$70*Premissas!$D$34/Premissas!$B$6+Premissas!$F$75)*Premissas!$D$33*F585</f>
        <v>-794970.264130435</v>
      </c>
      <c r="G591" s="36" t="n">
        <f aca="false">-G580*(Premissas!$F$70*Premissas!$D$34/Premissas!$B$6+Premissas!$F$75)*Premissas!$D$33*G585</f>
        <v>-861915.128478261</v>
      </c>
      <c r="H591" s="36" t="n">
        <f aca="false">-H580*(Premissas!$F$70*Premissas!$D$34/Premissas!$B$6+Premissas!$F$75)*Premissas!$D$33*H585</f>
        <v>-887772.582332609</v>
      </c>
      <c r="I591" s="36" t="n">
        <f aca="false">-I580*(Premissas!$F$70*Premissas!$D$34/Premissas!$B$6+Premissas!$F$75)*Premissas!$D$33*I585</f>
        <v>-914405.759802587</v>
      </c>
      <c r="J591" s="36" t="n">
        <f aca="false">-J580*(Premissas!$F$70*Premissas!$D$34/Premissas!$B$6+Premissas!$F$75)*Premissas!$D$33*J585</f>
        <v>-941837.932596665</v>
      </c>
      <c r="K591" s="36" t="n">
        <f aca="false">-K580*(Premissas!$F$70*Premissas!$D$34/Premissas!$B$6+Premissas!$F$75)*Premissas!$D$33*K585</f>
        <v>-970093.070574565</v>
      </c>
      <c r="L591" s="36" t="n">
        <f aca="false">-L580*(Premissas!$F$70*Premissas!$D$34/Premissas!$B$6+Premissas!$F$75)*Premissas!$D$33*L585</f>
        <v>-999195.862691802</v>
      </c>
      <c r="M591" s="36" t="n">
        <f aca="false">-M580*(Premissas!$F$70*Premissas!$D$34/Premissas!$B$6+Premissas!$F$75)*Premissas!$D$33*M585</f>
        <v>-1029171.73857256</v>
      </c>
      <c r="N591" s="36" t="n">
        <f aca="false">-N580*(Premissas!$F$70*Premissas!$D$34/Premissas!$B$6+Premissas!$F$75)*Premissas!$D$33*N585</f>
        <v>-1060046.89072973</v>
      </c>
      <c r="O591" s="36" t="n">
        <f aca="false">-O580*(Premissas!$F$70*Premissas!$D$34/Premissas!$B$6+Premissas!$F$75)*Premissas!$D$33*O585</f>
        <v>-1091848.29745162</v>
      </c>
      <c r="P591" s="3"/>
    </row>
    <row r="592" customFormat="false" ht="15" hidden="false" customHeight="false" outlineLevel="0" collapsed="false">
      <c r="A592" s="3"/>
      <c r="B592" s="4" t="s">
        <v>411</v>
      </c>
      <c r="C592" s="36" t="n">
        <f aca="false">-IF(C$579&gt;=1,Premissas!$F$68*Premissas!$D$33*C585,0)</f>
        <v>-0</v>
      </c>
      <c r="D592" s="36" t="n">
        <f aca="false">-IF(D$579&gt;=1,Premissas!$F$68*Premissas!$D$33*D585,0)</f>
        <v>-0</v>
      </c>
      <c r="E592" s="36" t="n">
        <f aca="false">-IF(E$579&gt;=1,Premissas!$F$68*Premissas!$D$33*E585,0)</f>
        <v>-0</v>
      </c>
      <c r="F592" s="36" t="n">
        <f aca="false">-IF(F$579&gt;=1,Premissas!$F$68*Premissas!$D$33*F585,0)</f>
        <v>-2081909.8</v>
      </c>
      <c r="G592" s="36" t="n">
        <f aca="false">-IF(G$579&gt;=1,Premissas!$F$68*Premissas!$D$33*G585,0)</f>
        <v>-2144367.094</v>
      </c>
      <c r="H592" s="36" t="n">
        <f aca="false">-IF(H$579&gt;=1,Premissas!$F$68*Premissas!$D$33*H585,0)</f>
        <v>-2208698.10682</v>
      </c>
      <c r="I592" s="36" t="n">
        <f aca="false">-IF(I$579&gt;=1,Premissas!$F$68*Premissas!$D$33*I585,0)</f>
        <v>-2274959.0500246</v>
      </c>
      <c r="J592" s="36" t="n">
        <f aca="false">-IF(J$579&gt;=1,Premissas!$F$68*Premissas!$D$33*J585,0)</f>
        <v>-2343207.82152534</v>
      </c>
      <c r="K592" s="36" t="n">
        <f aca="false">-IF(K$579&gt;=1,Premissas!$F$68*Premissas!$D$33*K585,0)</f>
        <v>-2413504.0561711</v>
      </c>
      <c r="L592" s="36" t="n">
        <f aca="false">-IF(L$579&gt;=1,Premissas!$F$68*Premissas!$D$33*L585,0)</f>
        <v>-2485909.17785623</v>
      </c>
      <c r="M592" s="36" t="n">
        <f aca="false">-IF(M$579&gt;=1,Premissas!$F$68*Premissas!$D$33*M585,0)</f>
        <v>-2560486.45319192</v>
      </c>
      <c r="N592" s="36" t="n">
        <f aca="false">-IF(N$579&gt;=1,Premissas!$F$68*Premissas!$D$33*N585,0)</f>
        <v>-2637301.04678768</v>
      </c>
      <c r="O592" s="36" t="n">
        <f aca="false">-IF(O$579&gt;=1,Premissas!$F$68*Premissas!$D$33*O585,0)</f>
        <v>-2716420.07819131</v>
      </c>
      <c r="P592" s="3"/>
    </row>
    <row r="593" customFormat="false" ht="15" hidden="false" customHeight="false" outlineLevel="0" collapsed="false">
      <c r="A593" s="3"/>
      <c r="B593" s="14" t="s">
        <v>412</v>
      </c>
      <c r="C593" s="33" t="n">
        <f aca="false">C590+C591+C592</f>
        <v>0</v>
      </c>
      <c r="D593" s="33" t="n">
        <f aca="false">D590+D591+D592</f>
        <v>0</v>
      </c>
      <c r="E593" s="33" t="n">
        <f aca="false">E590+E591+E592</f>
        <v>0</v>
      </c>
      <c r="F593" s="33" t="n">
        <f aca="false">F590+F591+F592</f>
        <v>797591.935869566</v>
      </c>
      <c r="G593" s="33" t="n">
        <f aca="false">G590+G591+G592</f>
        <v>940861.577521739</v>
      </c>
      <c r="H593" s="33" t="n">
        <f aca="false">H590+H591+H592</f>
        <v>949351.705847392</v>
      </c>
      <c r="I593" s="33" t="n">
        <f aca="false">I590+I591+I592</f>
        <v>957603.145047813</v>
      </c>
      <c r="J593" s="33" t="n">
        <f aca="false">J590+J591+J592</f>
        <v>965596.399624871</v>
      </c>
      <c r="K593" s="33" t="n">
        <f aca="false">K590+K591+K592</f>
        <v>973311.080844883</v>
      </c>
      <c r="L593" s="33" t="n">
        <f aca="false">L590+L591+L592</f>
        <v>980725.872232276</v>
      </c>
      <c r="M593" s="33" t="n">
        <f aca="false">M590+M591+M592</f>
        <v>987818.493835342</v>
      </c>
      <c r="N593" s="33" t="n">
        <f aca="false">N590+N591+N592</f>
        <v>994565.665222403</v>
      </c>
      <c r="O593" s="33" t="n">
        <f aca="false">O590+O591+O592</f>
        <v>1000943.06716537</v>
      </c>
      <c r="P593" s="3"/>
    </row>
    <row r="594" customFormat="false" ht="15" hidden="false" customHeight="false" outlineLevel="0" collapsed="false">
      <c r="A594" s="3"/>
      <c r="B594" s="4" t="s">
        <v>413</v>
      </c>
      <c r="C594" s="42" t="n">
        <f aca="false">IF(C590=0,0,C593/C590)</f>
        <v>0</v>
      </c>
      <c r="D594" s="42" t="n">
        <f aca="false">IF(D590=0,0,D593/D590)</f>
        <v>0</v>
      </c>
      <c r="E594" s="42" t="n">
        <f aca="false">IF(E590=0,0,E593/E590)</f>
        <v>0</v>
      </c>
      <c r="F594" s="42" t="n">
        <f aca="false">IF(F590=0,0,F593/F590)</f>
        <v>0.217063005479308</v>
      </c>
      <c r="G594" s="42" t="n">
        <f aca="false">IF(G590=0,0,G593/G590)</f>
        <v>0.238365163570108</v>
      </c>
      <c r="H594" s="42" t="n">
        <f aca="false">IF(H590=0,0,H593/H590)</f>
        <v>0.234649871685085</v>
      </c>
      <c r="I594" s="42" t="n">
        <f aca="false">IF(I590=0,0,I593/I590)</f>
        <v>0.230916456425012</v>
      </c>
      <c r="J594" s="42" t="n">
        <f aca="false">IF(J590=0,0,J593/J590)</f>
        <v>0.227164829383182</v>
      </c>
      <c r="K594" s="42" t="n">
        <f aca="false">IF(K590=0,0,K593/K590)</f>
        <v>0.223394901721637</v>
      </c>
      <c r="L594" s="42" t="n">
        <f aca="false">IF(L590=0,0,L593/L590)</f>
        <v>0.219606584169059</v>
      </c>
      <c r="M594" s="42" t="n">
        <f aca="false">IF(M590=0,0,M593/M590)</f>
        <v>0.215799787018664</v>
      </c>
      <c r="N594" s="42" t="n">
        <f aca="false">IF(N590=0,0,N593/N590)</f>
        <v>0.211974420126072</v>
      </c>
      <c r="O594" s="42" t="n">
        <f aca="false">IF(O590=0,0,O593/O590)</f>
        <v>0.208130392907175</v>
      </c>
      <c r="P594" s="3"/>
    </row>
    <row r="595" customFormat="false" ht="15" hidden="false" customHeight="false" outlineLevel="0" collapsed="false">
      <c r="A595" s="3"/>
      <c r="B595" s="4" t="s">
        <v>414</v>
      </c>
      <c r="C595" s="36" t="n">
        <f aca="false">-IF(C$579&gt;=1,Premissas!$F$52*(1-Premissas!$D$35)/10,0)</f>
        <v>-0</v>
      </c>
      <c r="D595" s="36" t="n">
        <f aca="false">-IF(D$579&gt;=1,Premissas!$F$52*(1-Premissas!$D$35)/10,0)</f>
        <v>-0</v>
      </c>
      <c r="E595" s="36" t="n">
        <f aca="false">-IF(E$579&gt;=1,Premissas!$F$52*(1-Premissas!$D$35)/10,0)</f>
        <v>-0</v>
      </c>
      <c r="F595" s="36" t="n">
        <f aca="false">-IF(F$579&gt;=1,Premissas!$F$52*(1-Premissas!$D$35)/10,0)</f>
        <v>-957950</v>
      </c>
      <c r="G595" s="36" t="n">
        <f aca="false">-IF(G$579&gt;=1,Premissas!$F$52*(1-Premissas!$D$35)/10,0)</f>
        <v>-957950</v>
      </c>
      <c r="H595" s="36" t="n">
        <f aca="false">-IF(H$579&gt;=1,Premissas!$F$52*(1-Premissas!$D$35)/10,0)</f>
        <v>-957950</v>
      </c>
      <c r="I595" s="36" t="n">
        <f aca="false">-IF(I$579&gt;=1,Premissas!$F$52*(1-Premissas!$D$35)/10,0)</f>
        <v>-957950</v>
      </c>
      <c r="J595" s="36" t="n">
        <f aca="false">-IF(J$579&gt;=1,Premissas!$F$52*(1-Premissas!$D$35)/10,0)</f>
        <v>-957950</v>
      </c>
      <c r="K595" s="36" t="n">
        <f aca="false">-IF(K$579&gt;=1,Premissas!$F$52*(1-Premissas!$D$35)/10,0)</f>
        <v>-957950</v>
      </c>
      <c r="L595" s="36" t="n">
        <f aca="false">-IF(L$579&gt;=1,Premissas!$F$52*(1-Premissas!$D$35)/10,0)</f>
        <v>-957950</v>
      </c>
      <c r="M595" s="36" t="n">
        <f aca="false">-IF(M$579&gt;=1,Premissas!$F$52*(1-Premissas!$D$35)/10,0)</f>
        <v>-957950</v>
      </c>
      <c r="N595" s="36" t="n">
        <f aca="false">-IF(N$579&gt;=1,Premissas!$F$52*(1-Premissas!$D$35)/10,0)</f>
        <v>-957950</v>
      </c>
      <c r="O595" s="36" t="n">
        <f aca="false">-IF(O$579&gt;=1,Premissas!$F$52*(1-Premissas!$D$35)/10,0)</f>
        <v>-957950</v>
      </c>
      <c r="P595" s="3"/>
    </row>
    <row r="596" customFormat="false" ht="15" hidden="false" customHeight="false" outlineLevel="0" collapsed="false">
      <c r="A596" s="3"/>
      <c r="B596" s="14" t="s">
        <v>415</v>
      </c>
      <c r="C596" s="40" t="n">
        <f aca="false">C593+C595</f>
        <v>0</v>
      </c>
      <c r="D596" s="40" t="n">
        <f aca="false">D593+D595</f>
        <v>0</v>
      </c>
      <c r="E596" s="40" t="n">
        <f aca="false">E593+E595</f>
        <v>0</v>
      </c>
      <c r="F596" s="40" t="n">
        <f aca="false">F593+F595</f>
        <v>-160358.064130434</v>
      </c>
      <c r="G596" s="40" t="n">
        <f aca="false">G593+G595</f>
        <v>-17088.4224782609</v>
      </c>
      <c r="H596" s="40" t="n">
        <f aca="false">H593+H595</f>
        <v>-8598.29415260814</v>
      </c>
      <c r="I596" s="40" t="n">
        <f aca="false">I593+I595</f>
        <v>-346.854952187277</v>
      </c>
      <c r="J596" s="40" t="n">
        <f aca="false">J593+J595</f>
        <v>7646.39962487109</v>
      </c>
      <c r="K596" s="40" t="n">
        <f aca="false">K593+K595</f>
        <v>15361.0808448829</v>
      </c>
      <c r="L596" s="40" t="n">
        <f aca="false">L593+L595</f>
        <v>22775.8722322756</v>
      </c>
      <c r="M596" s="40" t="n">
        <f aca="false">M593+M595</f>
        <v>29868.4938353421</v>
      </c>
      <c r="N596" s="40" t="n">
        <f aca="false">N593+N595</f>
        <v>36615.6652224027</v>
      </c>
      <c r="O596" s="40" t="n">
        <f aca="false">O593+O595</f>
        <v>42993.0671653748</v>
      </c>
      <c r="P596" s="3"/>
    </row>
    <row r="597" customFormat="false" ht="15" hidden="false" customHeight="false" outlineLevel="0" collapsed="false">
      <c r="A597" s="3"/>
      <c r="B597" s="4" t="s">
        <v>416</v>
      </c>
      <c r="C597" s="36" t="n">
        <f aca="false">-MAX(0,C596)*Premissas!$B$11</f>
        <v>-0</v>
      </c>
      <c r="D597" s="36" t="n">
        <f aca="false">-MAX(0,D596)*Premissas!$B$11</f>
        <v>-0</v>
      </c>
      <c r="E597" s="36" t="n">
        <f aca="false">-MAX(0,E596)*Premissas!$B$11</f>
        <v>-0</v>
      </c>
      <c r="F597" s="36" t="n">
        <f aca="false">-MAX(0,F596)*Premissas!$B$11</f>
        <v>-0</v>
      </c>
      <c r="G597" s="36" t="n">
        <f aca="false">-MAX(0,G596)*Premissas!$B$11</f>
        <v>-0</v>
      </c>
      <c r="H597" s="36" t="n">
        <f aca="false">-MAX(0,H596)*Premissas!$B$11</f>
        <v>-0</v>
      </c>
      <c r="I597" s="36" t="n">
        <f aca="false">-MAX(0,I596)*Premissas!$B$11</f>
        <v>-0</v>
      </c>
      <c r="J597" s="36" t="n">
        <f aca="false">-MAX(0,J596)*Premissas!$B$11</f>
        <v>-2599.77587245617</v>
      </c>
      <c r="K597" s="36" t="n">
        <f aca="false">-MAX(0,K596)*Premissas!$B$11</f>
        <v>-5222.76748726018</v>
      </c>
      <c r="L597" s="36" t="n">
        <f aca="false">-MAX(0,L596)*Premissas!$B$11</f>
        <v>-7743.79655897369</v>
      </c>
      <c r="M597" s="36" t="n">
        <f aca="false">-MAX(0,M596)*Premissas!$B$11</f>
        <v>-10155.2879040163</v>
      </c>
      <c r="N597" s="36" t="n">
        <f aca="false">-MAX(0,N596)*Premissas!$B$11</f>
        <v>-12449.3261756169</v>
      </c>
      <c r="O597" s="36" t="n">
        <f aca="false">-MAX(0,O596)*Premissas!$B$11</f>
        <v>-14617.6428362274</v>
      </c>
      <c r="P597" s="3"/>
    </row>
    <row r="598" customFormat="false" ht="15" hidden="false" customHeight="false" outlineLevel="0" collapsed="false">
      <c r="A598" s="3"/>
      <c r="B598" s="4" t="s">
        <v>417</v>
      </c>
      <c r="C598" s="36" t="n">
        <f aca="false">-(IF(C$579=3,Premissas!$F$80,0)+IF(C$579=5,Premissas!$F$81,0)+IF(C$579=8,Premissas!$F$82,0)+IF(C$579=10,Premissas!$F$83,0))*C585</f>
        <v>-0</v>
      </c>
      <c r="D598" s="36" t="n">
        <f aca="false">-(IF(D$579=3,Premissas!$F$80,0)+IF(D$579=5,Premissas!$F$81,0)+IF(D$579=8,Premissas!$F$82,0)+IF(D$579=10,Premissas!$F$83,0))*D585</f>
        <v>-0</v>
      </c>
      <c r="E598" s="36" t="n">
        <f aca="false">-(IF(E$579=3,Premissas!$F$80,0)+IF(E$579=5,Premissas!$F$81,0)+IF(E$579=8,Premissas!$F$82,0)+IF(E$579=10,Premissas!$F$83,0))*E585</f>
        <v>-0</v>
      </c>
      <c r="F598" s="36" t="n">
        <f aca="false">-(IF(F$579=3,Premissas!$F$80,0)+IF(F$579=5,Premissas!$F$81,0)+IF(F$579=8,Premissas!$F$82,0)+IF(F$579=10,Premissas!$F$83,0))*F585</f>
        <v>-0</v>
      </c>
      <c r="G598" s="36" t="n">
        <f aca="false">-(IF(G$579=3,Premissas!$F$80,0)+IF(G$579=5,Premissas!$F$81,0)+IF(G$579=8,Premissas!$F$82,0)+IF(G$579=10,Premissas!$F$83,0))*G585</f>
        <v>-0</v>
      </c>
      <c r="H598" s="36" t="n">
        <f aca="false">-(IF(H$579=3,Premissas!$F$80,0)+IF(H$579=5,Premissas!$F$81,0)+IF(H$579=8,Premissas!$F$82,0)+IF(H$579=10,Premissas!$F$83,0))*H585</f>
        <v>-233398</v>
      </c>
      <c r="I598" s="36" t="n">
        <f aca="false">-(IF(I$579=3,Premissas!$F$80,0)+IF(I$579=5,Premissas!$F$81,0)+IF(I$579=8,Premissas!$F$82,0)+IF(I$579=10,Premissas!$F$83,0))*I585</f>
        <v>-0</v>
      </c>
      <c r="J598" s="36" t="n">
        <f aca="false">-(IF(J$579=3,Premissas!$F$80,0)+IF(J$579=5,Premissas!$F$81,0)+IF(J$579=8,Premissas!$F$82,0)+IF(J$579=10,Premissas!$F$83,0))*J585</f>
        <v>-562754.405</v>
      </c>
      <c r="K598" s="36" t="n">
        <f aca="false">-(IF(K$579=3,Premissas!$F$80,0)+IF(K$579=5,Premissas!$F$81,0)+IF(K$579=8,Premissas!$F$82,0)+IF(K$579=10,Premissas!$F$83,0))*K585</f>
        <v>-0</v>
      </c>
      <c r="L598" s="36" t="n">
        <f aca="false">-(IF(L$579=3,Premissas!$F$80,0)+IF(L$579=5,Premissas!$F$81,0)+IF(L$579=8,Premissas!$F$82,0)+IF(L$579=10,Premissas!$F$83,0))*L585</f>
        <v>-0</v>
      </c>
      <c r="M598" s="36" t="n">
        <f aca="false">-(IF(M$579=3,Premissas!$F$80,0)+IF(M$579=5,Premissas!$F$81,0)+IF(M$579=8,Premissas!$F$82,0)+IF(M$579=10,Premissas!$F$83,0))*M585</f>
        <v>-307468.466356218</v>
      </c>
      <c r="N598" s="36" t="n">
        <f aca="false">-(IF(N$579=3,Premissas!$F$80,0)+IF(N$579=5,Premissas!$F$81,0)+IF(N$579=8,Premissas!$F$82,0)+IF(N$579=10,Premissas!$F$83,0))*N585</f>
        <v>-0</v>
      </c>
      <c r="O598" s="36" t="n">
        <f aca="false">-(IF(O$579=3,Premissas!$F$80,0)+IF(O$579=5,Premissas!$F$81,0)+IF(O$579=8,Premissas!$F$82,0)+IF(O$579=10,Premissas!$F$83,0))*O585</f>
        <v>-782863.910297547</v>
      </c>
      <c r="P598" s="3"/>
    </row>
    <row r="599" customFormat="false" ht="15" hidden="false" customHeight="false" outlineLevel="0" collapsed="false">
      <c r="A599" s="3"/>
      <c r="B599" s="4" t="s">
        <v>418</v>
      </c>
      <c r="C599" s="36" t="n">
        <f aca="false">-IF(C$579&gt;=1,Premissas!$F$52*(Premissas!$F$84+IF(C$579=6,Premissas!$F$85,0))*C585,0)</f>
        <v>-0</v>
      </c>
      <c r="D599" s="36" t="n">
        <f aca="false">-IF(D$579&gt;=1,Premissas!$F$52*(Premissas!$F$84+IF(D$579=6,Premissas!$F$85,0))*D585,0)</f>
        <v>-0</v>
      </c>
      <c r="E599" s="36" t="n">
        <f aca="false">-IF(E$579&gt;=1,Premissas!$F$52*(Premissas!$F$84+IF(E$579=6,Premissas!$F$85,0))*E585,0)</f>
        <v>-0</v>
      </c>
      <c r="F599" s="36" t="n">
        <f aca="false">-IF(F$579&gt;=1,Premissas!$F$52*(Premissas!$F$84+IF(F$579=6,Premissas!$F$85,0))*F585,0)</f>
        <v>-136850</v>
      </c>
      <c r="G599" s="36" t="n">
        <f aca="false">-IF(G$579&gt;=1,Premissas!$F$52*(Premissas!$F$84+IF(G$579=6,Premissas!$F$85,0))*G585,0)</f>
        <v>-140955.5</v>
      </c>
      <c r="H599" s="36" t="n">
        <f aca="false">-IF(H$579&gt;=1,Premissas!$F$52*(Premissas!$F$84+IF(H$579=6,Premissas!$F$85,0))*H585,0)</f>
        <v>-145184.165</v>
      </c>
      <c r="I599" s="36" t="n">
        <f aca="false">-IF(I$579&gt;=1,Premissas!$F$52*(Premissas!$F$84+IF(I$579=6,Premissas!$F$85,0))*I585,0)</f>
        <v>-149539.68995</v>
      </c>
      <c r="J599" s="36" t="n">
        <f aca="false">-IF(J$579&gt;=1,Premissas!$F$52*(Premissas!$F$84+IF(J$579=6,Premissas!$F$85,0))*J585,0)</f>
        <v>-154025.8806485</v>
      </c>
      <c r="K599" s="36" t="n">
        <f aca="false">-IF(K$579&gt;=1,Premissas!$F$52*(Premissas!$F$84+IF(K$579=6,Premissas!$F$85,0))*K585,0)</f>
        <v>-1427819.9136116</v>
      </c>
      <c r="L599" s="36" t="n">
        <f aca="false">-IF(L$579&gt;=1,Premissas!$F$52*(Premissas!$F$84+IF(L$579=6,Premissas!$F$85,0))*L585,0)</f>
        <v>-163406.056779994</v>
      </c>
      <c r="M599" s="36" t="n">
        <f aca="false">-IF(M$579&gt;=1,Premissas!$F$52*(Premissas!$F$84+IF(M$579=6,Premissas!$F$85,0))*M585,0)</f>
        <v>-168308.238483393</v>
      </c>
      <c r="N599" s="36" t="n">
        <f aca="false">-IF(N$579&gt;=1,Premissas!$F$52*(Premissas!$F$84+IF(N$579=6,Premissas!$F$85,0))*N585,0)</f>
        <v>-173357.485637895</v>
      </c>
      <c r="O599" s="36" t="n">
        <f aca="false">-IF(O$579&gt;=1,Premissas!$F$52*(Premissas!$F$84+IF(O$579=6,Premissas!$F$85,0))*O585,0)</f>
        <v>-178558.210207032</v>
      </c>
      <c r="P599" s="3"/>
    </row>
    <row r="600" customFormat="false" ht="15" hidden="false" customHeight="false" outlineLevel="0" collapsed="false">
      <c r="A600" s="3"/>
      <c r="B600" s="4" t="s">
        <v>419</v>
      </c>
      <c r="C600" s="36" t="n">
        <f aca="false">-Premissas!$F$52*Premissas!$F$53</f>
        <v>-5474000</v>
      </c>
      <c r="D600" s="36" t="n">
        <f aca="false">-Premissas!$F$52*Premissas!$F$54</f>
        <v>-5474000</v>
      </c>
      <c r="E600" s="36" t="n">
        <f aca="false">-Premissas!$F$52*Premissas!$F$55</f>
        <v>-16422000</v>
      </c>
      <c r="F600" s="36" t="n">
        <v>0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6" t="n">
        <v>0</v>
      </c>
      <c r="O600" s="36" t="n">
        <v>0</v>
      </c>
      <c r="P600" s="3"/>
    </row>
    <row r="601" customFormat="false" ht="15" hidden="false" customHeight="false" outlineLevel="0" collapsed="false">
      <c r="A601" s="3"/>
      <c r="B601" s="4" t="s">
        <v>420</v>
      </c>
      <c r="C601" s="36" t="n">
        <f aca="false">IF(C$579=10,Premissas!$F$52*Premissas!$D$35,0)</f>
        <v>0</v>
      </c>
      <c r="D601" s="36" t="n">
        <f aca="false">IF(D$579=10,Premissas!$F$52*Premissas!$D$35,0)</f>
        <v>0</v>
      </c>
      <c r="E601" s="36" t="n">
        <f aca="false">IF(E$579=10,Premissas!$F$52*Premissas!$D$35,0)</f>
        <v>0</v>
      </c>
      <c r="F601" s="36" t="n">
        <f aca="false">IF(F$579=10,Premissas!$F$52*Premissas!$D$35,0)</f>
        <v>0</v>
      </c>
      <c r="G601" s="36" t="n">
        <f aca="false">IF(G$579=10,Premissas!$F$52*Premissas!$D$35,0)</f>
        <v>0</v>
      </c>
      <c r="H601" s="36" t="n">
        <f aca="false">IF(H$579=10,Premissas!$F$52*Premissas!$D$35,0)</f>
        <v>0</v>
      </c>
      <c r="I601" s="36" t="n">
        <f aca="false">IF(I$579=10,Premissas!$F$52*Premissas!$D$35,0)</f>
        <v>0</v>
      </c>
      <c r="J601" s="36" t="n">
        <f aca="false">IF(J$579=10,Premissas!$F$52*Premissas!$D$35,0)</f>
        <v>0</v>
      </c>
      <c r="K601" s="36" t="n">
        <f aca="false">IF(K$579=10,Premissas!$F$52*Premissas!$D$35,0)</f>
        <v>0</v>
      </c>
      <c r="L601" s="36" t="n">
        <f aca="false">IF(L$579=10,Premissas!$F$52*Premissas!$D$35,0)</f>
        <v>0</v>
      </c>
      <c r="M601" s="36" t="n">
        <f aca="false">IF(M$579=10,Premissas!$F$52*Premissas!$D$35,0)</f>
        <v>0</v>
      </c>
      <c r="N601" s="36" t="n">
        <f aca="false">IF(N$579=10,Premissas!$F$52*Premissas!$D$35,0)</f>
        <v>0</v>
      </c>
      <c r="O601" s="36" t="n">
        <f aca="false">IF(O$579=10,Premissas!$F$52*Premissas!$D$35,0)</f>
        <v>17790500</v>
      </c>
      <c r="P601" s="3"/>
    </row>
    <row r="602" customFormat="false" ht="15" hidden="false" customHeight="false" outlineLevel="0" collapsed="false">
      <c r="A602" s="3"/>
      <c r="B602" s="14" t="s">
        <v>421</v>
      </c>
      <c r="C602" s="33" t="n">
        <f aca="false">C593+C597+C598+C599+C600+C601</f>
        <v>-5474000</v>
      </c>
      <c r="D602" s="33" t="n">
        <f aca="false">D593+D597+D598+D599+D600+D601</f>
        <v>-5474000</v>
      </c>
      <c r="E602" s="33" t="n">
        <f aca="false">E593+E597+E598+E599+E600+E601</f>
        <v>-16422000</v>
      </c>
      <c r="F602" s="33" t="n">
        <f aca="false">F593+F597+F598+F599+F600+F601</f>
        <v>660741.935869566</v>
      </c>
      <c r="G602" s="33" t="n">
        <f aca="false">G593+G597+G598+G599+G600+G601</f>
        <v>799906.077521739</v>
      </c>
      <c r="H602" s="33" t="n">
        <f aca="false">H593+H597+H598+H599+H600+H601</f>
        <v>570769.540847392</v>
      </c>
      <c r="I602" s="33" t="n">
        <f aca="false">I593+I597+I598+I599+I600+I601</f>
        <v>808063.455097813</v>
      </c>
      <c r="J602" s="33" t="n">
        <f aca="false">J593+J597+J598+J599+J600+J601</f>
        <v>246216.338103915</v>
      </c>
      <c r="K602" s="33" t="n">
        <f aca="false">K593+K597+K598+K599+K600+K601</f>
        <v>-459731.600253972</v>
      </c>
      <c r="L602" s="33" t="n">
        <f aca="false">L593+L597+L598+L599+L600+L601</f>
        <v>809576.018893308</v>
      </c>
      <c r="M602" s="33" t="n">
        <f aca="false">M593+M597+M598+M599+M600+M601</f>
        <v>501886.501091715</v>
      </c>
      <c r="N602" s="33" t="n">
        <f aca="false">N593+N597+N598+N599+N600+N601</f>
        <v>808758.85340889</v>
      </c>
      <c r="O602" s="33" t="n">
        <f aca="false">O593+O597+O598+O599+O600+O601</f>
        <v>17815403.3038246</v>
      </c>
      <c r="P602" s="3"/>
    </row>
    <row r="603" customFormat="false" ht="15" hidden="false" customHeight="false" outlineLevel="0" collapsed="false">
      <c r="A603" s="3"/>
      <c r="B603" s="4" t="s">
        <v>422</v>
      </c>
      <c r="C603" s="36" t="n">
        <f aca="false">C602-C601</f>
        <v>-5474000</v>
      </c>
      <c r="D603" s="36" t="n">
        <f aca="false">C603+D602-D601</f>
        <v>-10948000</v>
      </c>
      <c r="E603" s="36" t="n">
        <f aca="false">D603+E602-E601</f>
        <v>-27370000</v>
      </c>
      <c r="F603" s="36" t="n">
        <f aca="false">E603+F602-F601</f>
        <v>-26709258.0641304</v>
      </c>
      <c r="G603" s="36" t="n">
        <f aca="false">F603+G602-G601</f>
        <v>-25909351.9866087</v>
      </c>
      <c r="H603" s="36" t="n">
        <f aca="false">G603+H602-H601</f>
        <v>-25338582.4457613</v>
      </c>
      <c r="I603" s="36" t="n">
        <f aca="false">H603+I602-I601</f>
        <v>-24530518.9906635</v>
      </c>
      <c r="J603" s="36" t="n">
        <f aca="false">I603+J602-J601</f>
        <v>-24284302.6525596</v>
      </c>
      <c r="K603" s="36" t="n">
        <f aca="false">J603+K602-K601</f>
        <v>-24744034.2528135</v>
      </c>
      <c r="L603" s="36" t="n">
        <f aca="false">K603+L602-L601</f>
        <v>-23934458.2339202</v>
      </c>
      <c r="M603" s="36" t="n">
        <f aca="false">L603+M602-M601</f>
        <v>-23432571.7328285</v>
      </c>
      <c r="N603" s="36" t="n">
        <f aca="false">M603+N602-N601</f>
        <v>-22623812.8794196</v>
      </c>
      <c r="O603" s="36" t="n">
        <f aca="false">N603+O602-O601</f>
        <v>-22598909.5755951</v>
      </c>
      <c r="P603" s="3"/>
    </row>
    <row r="604" customFormat="false" ht="15" hidden="false" customHeight="false" outlineLevel="0" collapsed="false">
      <c r="A604" s="3"/>
      <c r="B604" s="6" t="s">
        <v>423</v>
      </c>
      <c r="C604" s="46" t="n">
        <v>0</v>
      </c>
      <c r="D604" s="46" t="n">
        <v>0</v>
      </c>
      <c r="E604" s="46" t="n">
        <v>0</v>
      </c>
      <c r="F604" s="46" t="n">
        <f aca="false">IF(AND(E603&lt;0,F603&gt;=0),F$579-1+(-E603)/(F602-F601),0)</f>
        <v>0</v>
      </c>
      <c r="G604" s="46" t="n">
        <f aca="false">IF(AND(F603&lt;0,G603&gt;=0),G$579-1+(-F603)/(G602-G601),0)</f>
        <v>0</v>
      </c>
      <c r="H604" s="46" t="n">
        <f aca="false">IF(AND(G603&lt;0,H603&gt;=0),H$579-1+(-G603)/(H602-H601),0)</f>
        <v>0</v>
      </c>
      <c r="I604" s="46" t="n">
        <f aca="false">IF(AND(H603&lt;0,I603&gt;=0),I$579-1+(-H603)/(I602-I601),0)</f>
        <v>0</v>
      </c>
      <c r="J604" s="46" t="n">
        <f aca="false">IF(AND(I603&lt;0,J603&gt;=0),J$579-1+(-I603)/(J602-J601),0)</f>
        <v>0</v>
      </c>
      <c r="K604" s="46" t="n">
        <f aca="false">IF(AND(J603&lt;0,K603&gt;=0),K$579-1+(-J603)/(K602-K601),0)</f>
        <v>0</v>
      </c>
      <c r="L604" s="46" t="n">
        <f aca="false">IF(AND(K603&lt;0,L603&gt;=0),L$579-1+(-K603)/(L602-L601),0)</f>
        <v>0</v>
      </c>
      <c r="M604" s="46" t="n">
        <f aca="false">IF(AND(L603&lt;0,M603&gt;=0),M$579-1+(-L603)/(M602-M601),0)</f>
        <v>0</v>
      </c>
      <c r="N604" s="46" t="n">
        <f aca="false">IF(AND(M603&lt;0,N603&gt;=0),N$579-1+(-M603)/(N602-N601),0)</f>
        <v>0</v>
      </c>
      <c r="O604" s="46" t="n">
        <f aca="false">IF(AND(N603&lt;0,O603&gt;=0),O$579-1+(-N603)/(O602-O601),0)</f>
        <v>0</v>
      </c>
      <c r="P604" s="3"/>
    </row>
    <row r="605" customFormat="false" ht="15" hidden="false" customHeight="false" outlineLevel="0" collapsed="false">
      <c r="A605" s="3"/>
      <c r="B605" s="14" t="s">
        <v>424</v>
      </c>
      <c r="C605" s="47" t="n">
        <f aca="false">IFERROR(IRR(C602:O602,0.05),IFERROR(IRR(C602:O602,-0.05),IF(SUM(C602:O602)&lt;0,"negativa","n/d")))</f>
        <v>-0.0200161092683058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customFormat="false" ht="15" hidden="false" customHeight="false" outlineLevel="0" collapsed="false">
      <c r="A606" s="3"/>
      <c r="B606" s="14" t="s">
        <v>425</v>
      </c>
      <c r="C606" s="48" t="n">
        <f aca="false">C602*(1+Premissas!$B$10)^2+D602*(1+Premissas!$B$10)+E602+NPV(Premissas!$B$10,F602:O602)</f>
        <v>-19069889.6630777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customFormat="false" ht="15" hidden="false" customHeight="false" outlineLevel="0" collapsed="false">
      <c r="A607" s="3"/>
      <c r="B607" s="14" t="s">
        <v>426</v>
      </c>
      <c r="C607" s="49" t="str">
        <f aca="false">IF(SUM(F604:O604)=0,"&gt; 10",SUM(F604:O604))</f>
        <v>&gt; 10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customFormat="false" ht="15" hidden="false" customHeight="false" outlineLevel="0" collapsed="false">
      <c r="A608" s="3"/>
      <c r="B608" s="14" t="s">
        <v>427</v>
      </c>
      <c r="C608" s="47" t="n">
        <f aca="false">SUM(C602:O602)/-SUM(C600:E600)</f>
        <v>-0.175681752853309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customFormat="false" ht="15" hidden="false" customHeight="false" outlineLevel="0" collapsed="false">
      <c r="A609" s="3"/>
      <c r="B609" s="14" t="s">
        <v>428</v>
      </c>
      <c r="C609" s="47" t="n">
        <f aca="false">AVERAGE(F596:O596)*(1-Premissas!$B$11)/-SUM(C600:E600)</f>
        <v>-7.50694098659315E-005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customFormat="false" ht="15" hidden="false" customHeight="false" outlineLevel="0" collapsed="false">
      <c r="A610" s="3"/>
      <c r="B610" s="14" t="s">
        <v>429</v>
      </c>
      <c r="C610" s="48" t="n">
        <f aca="false">H593</f>
        <v>949351.705847392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customFormat="false" ht="15" hidden="false" customHeight="false" outlineLevel="0" collapsed="false">
      <c r="A611" s="3"/>
      <c r="B611" s="14" t="s">
        <v>430</v>
      </c>
      <c r="C611" s="48" t="n">
        <f aca="false">H590</f>
        <v>4045822.395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customFormat="false" ht="15" hidden="false" customHeight="false" outlineLevel="0" collapsed="false">
      <c r="A612" s="3"/>
      <c r="B612" s="14" t="s">
        <v>431</v>
      </c>
      <c r="C612" s="47" t="n">
        <f aca="false">H594</f>
        <v>0.234649871685085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customFormat="false" ht="15" hidden="false" customHeight="false" outlineLevel="0" collapsed="false">
      <c r="A613" s="3"/>
      <c r="B613" s="14" t="s">
        <v>432</v>
      </c>
      <c r="C613" s="48" t="n">
        <f aca="false">-(H591+H592)</f>
        <v>3096470.68915261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customFormat="false" ht="15" hidden="false" customHeight="false" outlineLevel="0" collapsed="false">
      <c r="A614" s="3"/>
      <c r="B614" s="14" t="s">
        <v>433</v>
      </c>
      <c r="C614" s="50" t="n">
        <f aca="false">IFERROR(-H592/((H590+H591)/H580),"n/d")</f>
        <v>20.9816016640453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customFormat="false" ht="15" hidden="false" customHeight="false" outlineLevel="0" collapsed="false">
      <c r="A615" s="3"/>
      <c r="B615" s="14" t="s">
        <v>434</v>
      </c>
      <c r="C615" s="48" t="n">
        <f aca="false">-SUM(C600:E600)</f>
        <v>27370000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customFormat="false" ht="15" hidden="false" customHeight="false" outlineLevel="0" collapsed="false">
      <c r="A616" s="3"/>
      <c r="B616" s="14" t="s">
        <v>435</v>
      </c>
      <c r="C616" s="48" t="n">
        <f aca="false">O601</f>
        <v>17790500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customFormat="false" ht="15" hidden="false" customHeight="false" outlineLevel="0" collapsed="false">
      <c r="A619" s="3"/>
      <c r="B619" s="19" t="s">
        <v>450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customFormat="false" ht="15" hidden="false" customHeight="false" outlineLevel="0" collapsed="false">
      <c r="A620" s="3"/>
      <c r="B620" s="14" t="s">
        <v>398</v>
      </c>
      <c r="C620" s="44" t="n">
        <v>-2</v>
      </c>
      <c r="D620" s="44" t="n">
        <v>-1</v>
      </c>
      <c r="E620" s="44" t="n">
        <v>0</v>
      </c>
      <c r="F620" s="44" t="n">
        <v>1</v>
      </c>
      <c r="G620" s="44" t="n">
        <v>2</v>
      </c>
      <c r="H620" s="44" t="n">
        <v>3</v>
      </c>
      <c r="I620" s="44" t="n">
        <v>4</v>
      </c>
      <c r="J620" s="44" t="n">
        <v>5</v>
      </c>
      <c r="K620" s="44" t="n">
        <v>6</v>
      </c>
      <c r="L620" s="44" t="n">
        <v>7</v>
      </c>
      <c r="M620" s="44" t="n">
        <v>8</v>
      </c>
      <c r="N620" s="44" t="n">
        <v>9</v>
      </c>
      <c r="O620" s="44" t="n">
        <v>10</v>
      </c>
      <c r="P620" s="3"/>
    </row>
    <row r="621" customFormat="false" ht="15" hidden="false" customHeight="false" outlineLevel="0" collapsed="false">
      <c r="A621" s="3"/>
      <c r="B621" s="4" t="s">
        <v>399</v>
      </c>
      <c r="C621" s="39" t="n">
        <f aca="false">IF(C$620&gt;=1,Premissas!$B$29*IF(C$620=1,Premissas!$B$37,1),0)</f>
        <v>0</v>
      </c>
      <c r="D621" s="39" t="n">
        <f aca="false">IF(D$620&gt;=1,Premissas!$B$29*IF(D$620=1,Premissas!$B$37,1),0)</f>
        <v>0</v>
      </c>
      <c r="E621" s="39" t="n">
        <f aca="false">IF(E$620&gt;=1,Premissas!$B$29*IF(E$620=1,Premissas!$B$37,1),0)</f>
        <v>0</v>
      </c>
      <c r="F621" s="39" t="n">
        <f aca="false">IF(F$620&gt;=1,Premissas!$B$29*IF(F$620=1,Premissas!$B$37,1),0)</f>
        <v>15</v>
      </c>
      <c r="G621" s="39" t="n">
        <f aca="false">IF(G$620&gt;=1,Premissas!$B$29*IF(G$620=1,Premissas!$B$37,1),0)</f>
        <v>20</v>
      </c>
      <c r="H621" s="39" t="n">
        <f aca="false">IF(H$620&gt;=1,Premissas!$B$29*IF(H$620=1,Premissas!$B$37,1),0)</f>
        <v>20</v>
      </c>
      <c r="I621" s="39" t="n">
        <f aca="false">IF(I$620&gt;=1,Premissas!$B$29*IF(I$620=1,Premissas!$B$37,1),0)</f>
        <v>20</v>
      </c>
      <c r="J621" s="39" t="n">
        <f aca="false">IF(J$620&gt;=1,Premissas!$B$29*IF(J$620=1,Premissas!$B$37,1),0)</f>
        <v>20</v>
      </c>
      <c r="K621" s="39" t="n">
        <f aca="false">IF(K$620&gt;=1,Premissas!$B$29*IF(K$620=1,Premissas!$B$37,1),0)</f>
        <v>20</v>
      </c>
      <c r="L621" s="39" t="n">
        <f aca="false">IF(L$620&gt;=1,Premissas!$B$29*IF(L$620=1,Premissas!$B$37,1),0)</f>
        <v>20</v>
      </c>
      <c r="M621" s="39" t="n">
        <f aca="false">IF(M$620&gt;=1,Premissas!$B$29*IF(M$620=1,Premissas!$B$37,1),0)</f>
        <v>20</v>
      </c>
      <c r="N621" s="39" t="n">
        <f aca="false">IF(N$620&gt;=1,Premissas!$B$29*IF(N$620=1,Premissas!$B$37,1),0)</f>
        <v>20</v>
      </c>
      <c r="O621" s="39" t="n">
        <f aca="false">IF(O$620&gt;=1,Premissas!$B$29*IF(O$620=1,Premissas!$B$37,1),0)</f>
        <v>20</v>
      </c>
      <c r="P621" s="3"/>
    </row>
    <row r="622" customFormat="false" ht="15" hidden="false" customHeight="false" outlineLevel="0" collapsed="false">
      <c r="A622" s="3"/>
      <c r="B622" s="4" t="s">
        <v>400</v>
      </c>
      <c r="C622" s="39" t="n">
        <f aca="false">MIN(C621,Premissas!$B$30)</f>
        <v>0</v>
      </c>
      <c r="D622" s="39" t="n">
        <f aca="false">MIN(D621,Premissas!$B$30)</f>
        <v>0</v>
      </c>
      <c r="E622" s="39" t="n">
        <f aca="false">MIN(E621,Premissas!$B$30)</f>
        <v>0</v>
      </c>
      <c r="F622" s="39" t="n">
        <f aca="false">MIN(F621,Premissas!$B$30)</f>
        <v>6</v>
      </c>
      <c r="G622" s="39" t="n">
        <f aca="false">MIN(G621,Premissas!$B$30)</f>
        <v>6</v>
      </c>
      <c r="H622" s="39" t="n">
        <f aca="false">MIN(H621,Premissas!$B$30)</f>
        <v>6</v>
      </c>
      <c r="I622" s="39" t="n">
        <f aca="false">MIN(I621,Premissas!$B$30)</f>
        <v>6</v>
      </c>
      <c r="J622" s="39" t="n">
        <f aca="false">MIN(J621,Premissas!$B$30)</f>
        <v>6</v>
      </c>
      <c r="K622" s="39" t="n">
        <f aca="false">MIN(K621,Premissas!$B$30)</f>
        <v>6</v>
      </c>
      <c r="L622" s="39" t="n">
        <f aca="false">MIN(L621,Premissas!$B$30)</f>
        <v>6</v>
      </c>
      <c r="M622" s="39" t="n">
        <f aca="false">MIN(M621,Premissas!$B$30)</f>
        <v>6</v>
      </c>
      <c r="N622" s="39" t="n">
        <f aca="false">MIN(N621,Premissas!$B$30)</f>
        <v>6</v>
      </c>
      <c r="O622" s="39" t="n">
        <f aca="false">MIN(O621,Premissas!$B$30)</f>
        <v>6</v>
      </c>
      <c r="P622" s="3"/>
    </row>
    <row r="623" customFormat="false" ht="15" hidden="false" customHeight="false" outlineLevel="0" collapsed="false">
      <c r="A623" s="3"/>
      <c r="B623" s="4" t="s">
        <v>401</v>
      </c>
      <c r="C623" s="39" t="n">
        <f aca="false">MIN(C621-C622,Premissas!$B$31)</f>
        <v>0</v>
      </c>
      <c r="D623" s="39" t="n">
        <f aca="false">MIN(D621-D622,Premissas!$B$31)</f>
        <v>0</v>
      </c>
      <c r="E623" s="39" t="n">
        <f aca="false">MIN(E621-E622,Premissas!$B$31)</f>
        <v>0</v>
      </c>
      <c r="F623" s="39" t="n">
        <f aca="false">MIN(F621-F622,Premissas!$B$31)</f>
        <v>4</v>
      </c>
      <c r="G623" s="39" t="n">
        <f aca="false">MIN(G621-G622,Premissas!$B$31)</f>
        <v>4</v>
      </c>
      <c r="H623" s="39" t="n">
        <f aca="false">MIN(H621-H622,Premissas!$B$31)</f>
        <v>4</v>
      </c>
      <c r="I623" s="39" t="n">
        <f aca="false">MIN(I621-I622,Premissas!$B$31)</f>
        <v>4</v>
      </c>
      <c r="J623" s="39" t="n">
        <f aca="false">MIN(J621-J622,Premissas!$B$31)</f>
        <v>4</v>
      </c>
      <c r="K623" s="39" t="n">
        <f aca="false">MIN(K621-K622,Premissas!$B$31)</f>
        <v>4</v>
      </c>
      <c r="L623" s="39" t="n">
        <f aca="false">MIN(L621-L622,Premissas!$B$31)</f>
        <v>4</v>
      </c>
      <c r="M623" s="39" t="n">
        <f aca="false">MIN(M621-M622,Premissas!$B$31)</f>
        <v>4</v>
      </c>
      <c r="N623" s="39" t="n">
        <f aca="false">MIN(N621-N622,Premissas!$B$31)</f>
        <v>4</v>
      </c>
      <c r="O623" s="39" t="n">
        <f aca="false">MIN(O621-O622,Premissas!$B$31)</f>
        <v>4</v>
      </c>
      <c r="P623" s="3"/>
    </row>
    <row r="624" customFormat="false" ht="15" hidden="false" customHeight="false" outlineLevel="0" collapsed="false">
      <c r="A624" s="3"/>
      <c r="B624" s="4" t="s">
        <v>402</v>
      </c>
      <c r="C624" s="39" t="n">
        <f aca="false">C621-C622-C623</f>
        <v>0</v>
      </c>
      <c r="D624" s="39" t="n">
        <f aca="false">D621-D622-D623</f>
        <v>0</v>
      </c>
      <c r="E624" s="39" t="n">
        <f aca="false">E621-E622-E623</f>
        <v>0</v>
      </c>
      <c r="F624" s="39" t="n">
        <f aca="false">F621-F622-F623</f>
        <v>5</v>
      </c>
      <c r="G624" s="39" t="n">
        <f aca="false">G621-G622-G623</f>
        <v>10</v>
      </c>
      <c r="H624" s="39" t="n">
        <f aca="false">H621-H622-H623</f>
        <v>10</v>
      </c>
      <c r="I624" s="39" t="n">
        <f aca="false">I621-I622-I623</f>
        <v>10</v>
      </c>
      <c r="J624" s="39" t="n">
        <f aca="false">J621-J622-J623</f>
        <v>10</v>
      </c>
      <c r="K624" s="39" t="n">
        <f aca="false">K621-K622-K623</f>
        <v>10</v>
      </c>
      <c r="L624" s="39" t="n">
        <f aca="false">L621-L622-L623</f>
        <v>10</v>
      </c>
      <c r="M624" s="39" t="n">
        <f aca="false">M621-M622-M623</f>
        <v>10</v>
      </c>
      <c r="N624" s="39" t="n">
        <f aca="false">N621-N622-N623</f>
        <v>10</v>
      </c>
      <c r="O624" s="39" t="n">
        <f aca="false">O621-O622-O623</f>
        <v>10</v>
      </c>
      <c r="P624" s="3"/>
    </row>
    <row r="625" customFormat="false" ht="15" hidden="false" customHeight="false" outlineLevel="0" collapsed="false">
      <c r="A625" s="3"/>
      <c r="B625" s="4" t="s">
        <v>403</v>
      </c>
      <c r="C625" s="45" t="n">
        <f aca="false">IF(C$620&gt;=1,(1+Premissas!$B$8)^(C$620-1),0)</f>
        <v>0</v>
      </c>
      <c r="D625" s="45" t="n">
        <f aca="false">IF(D$620&gt;=1,(1+Premissas!$B$8)^(D$620-1),0)</f>
        <v>0</v>
      </c>
      <c r="E625" s="45" t="n">
        <f aca="false">IF(E$620&gt;=1,(1+Premissas!$B$8)^(E$620-1),0)</f>
        <v>0</v>
      </c>
      <c r="F625" s="45" t="n">
        <f aca="false">IF(F$620&gt;=1,(1+Premissas!$B$8)^(F$620-1),0)</f>
        <v>1</v>
      </c>
      <c r="G625" s="45" t="n">
        <f aca="false">IF(G$620&gt;=1,(1+Premissas!$B$8)^(G$620-1),0)</f>
        <v>1.025</v>
      </c>
      <c r="H625" s="45" t="n">
        <f aca="false">IF(H$620&gt;=1,(1+Premissas!$B$8)^(H$620-1),0)</f>
        <v>1.050625</v>
      </c>
      <c r="I625" s="45" t="n">
        <f aca="false">IF(I$620&gt;=1,(1+Premissas!$B$8)^(I$620-1),0)</f>
        <v>1.076890625</v>
      </c>
      <c r="J625" s="45" t="n">
        <f aca="false">IF(J$620&gt;=1,(1+Premissas!$B$8)^(J$620-1),0)</f>
        <v>1.103812890625</v>
      </c>
      <c r="K625" s="45" t="n">
        <f aca="false">IF(K$620&gt;=1,(1+Premissas!$B$8)^(K$620-1),0)</f>
        <v>1.13140821289062</v>
      </c>
      <c r="L625" s="45" t="n">
        <f aca="false">IF(L$620&gt;=1,(1+Premissas!$B$8)^(L$620-1),0)</f>
        <v>1.15969341821289</v>
      </c>
      <c r="M625" s="45" t="n">
        <f aca="false">IF(M$620&gt;=1,(1+Premissas!$B$8)^(M$620-1),0)</f>
        <v>1.18868575366821</v>
      </c>
      <c r="N625" s="45" t="n">
        <f aca="false">IF(N$620&gt;=1,(1+Premissas!$B$8)^(N$620-1),0)</f>
        <v>1.21840289750992</v>
      </c>
      <c r="O625" s="45" t="n">
        <f aca="false">IF(O$620&gt;=1,(1+Premissas!$B$8)^(O$620-1),0)</f>
        <v>1.24886296994767</v>
      </c>
      <c r="P625" s="3"/>
    </row>
    <row r="626" customFormat="false" ht="15" hidden="false" customHeight="false" outlineLevel="0" collapsed="false">
      <c r="A626" s="3"/>
      <c r="B626" s="4" t="s">
        <v>404</v>
      </c>
      <c r="C626" s="45" t="n">
        <f aca="false">IF(C$620&gt;=1,(1+Premissas!$B$9)^(C$620-1),0)</f>
        <v>0</v>
      </c>
      <c r="D626" s="45" t="n">
        <f aca="false">IF(D$620&gt;=1,(1+Premissas!$B$9)^(D$620-1),0)</f>
        <v>0</v>
      </c>
      <c r="E626" s="45" t="n">
        <f aca="false">IF(E$620&gt;=1,(1+Premissas!$B$9)^(E$620-1),0)</f>
        <v>0</v>
      </c>
      <c r="F626" s="45" t="n">
        <f aca="false">IF(F$620&gt;=1,(1+Premissas!$B$9)^(F$620-1),0)</f>
        <v>1</v>
      </c>
      <c r="G626" s="45" t="n">
        <f aca="false">IF(G$620&gt;=1,(1+Premissas!$B$9)^(G$620-1),0)</f>
        <v>1.03</v>
      </c>
      <c r="H626" s="45" t="n">
        <f aca="false">IF(H$620&gt;=1,(1+Premissas!$B$9)^(H$620-1),0)</f>
        <v>1.0609</v>
      </c>
      <c r="I626" s="45" t="n">
        <f aca="false">IF(I$620&gt;=1,(1+Premissas!$B$9)^(I$620-1),0)</f>
        <v>1.092727</v>
      </c>
      <c r="J626" s="45" t="n">
        <f aca="false">IF(J$620&gt;=1,(1+Premissas!$B$9)^(J$620-1),0)</f>
        <v>1.12550881</v>
      </c>
      <c r="K626" s="45" t="n">
        <f aca="false">IF(K$620&gt;=1,(1+Premissas!$B$9)^(K$620-1),0)</f>
        <v>1.1592740743</v>
      </c>
      <c r="L626" s="45" t="n">
        <f aca="false">IF(L$620&gt;=1,(1+Premissas!$B$9)^(L$620-1),0)</f>
        <v>1.194052296529</v>
      </c>
      <c r="M626" s="45" t="n">
        <f aca="false">IF(M$620&gt;=1,(1+Premissas!$B$9)^(M$620-1),0)</f>
        <v>1.22987386542487</v>
      </c>
      <c r="N626" s="45" t="n">
        <f aca="false">IF(N$620&gt;=1,(1+Premissas!$B$9)^(N$620-1),0)</f>
        <v>1.26677008138762</v>
      </c>
      <c r="O626" s="45" t="n">
        <f aca="false">IF(O$620&gt;=1,(1+Premissas!$B$9)^(O$620-1),0)</f>
        <v>1.30477318382925</v>
      </c>
      <c r="P626" s="3"/>
    </row>
    <row r="627" customFormat="false" ht="15" hidden="false" customHeight="false" outlineLevel="0" collapsed="false">
      <c r="A627" s="3"/>
      <c r="B627" s="4" t="s">
        <v>405</v>
      </c>
      <c r="C627" s="36" t="n">
        <f aca="false">C622*Premissas!$G$77*Premissas!$B$32*C625</f>
        <v>0</v>
      </c>
      <c r="D627" s="36" t="n">
        <f aca="false">D622*Premissas!$G$77*Premissas!$B$32*D625</f>
        <v>0</v>
      </c>
      <c r="E627" s="36" t="n">
        <f aca="false">E622*Premissas!$G$77*Premissas!$B$32*E625</f>
        <v>0</v>
      </c>
      <c r="F627" s="36" t="n">
        <f aca="false">F622*Premissas!$G$77*Premissas!$B$32*F625</f>
        <v>567000</v>
      </c>
      <c r="G627" s="36" t="n">
        <f aca="false">G622*Premissas!$G$77*Premissas!$B$32*G625</f>
        <v>581175</v>
      </c>
      <c r="H627" s="36" t="n">
        <f aca="false">H622*Premissas!$G$77*Premissas!$B$32*H625</f>
        <v>595704.375</v>
      </c>
      <c r="I627" s="36" t="n">
        <f aca="false">I622*Premissas!$G$77*Premissas!$B$32*I625</f>
        <v>610596.984375</v>
      </c>
      <c r="J627" s="36" t="n">
        <f aca="false">J622*Premissas!$G$77*Premissas!$B$32*J625</f>
        <v>625861.908984375</v>
      </c>
      <c r="K627" s="36" t="n">
        <f aca="false">K622*Premissas!$G$77*Premissas!$B$32*K625</f>
        <v>641508.456708984</v>
      </c>
      <c r="L627" s="36" t="n">
        <f aca="false">L622*Premissas!$G$77*Premissas!$B$32*L625</f>
        <v>657546.168126709</v>
      </c>
      <c r="M627" s="36" t="n">
        <f aca="false">M622*Premissas!$G$77*Premissas!$B$32*M625</f>
        <v>673984.822329876</v>
      </c>
      <c r="N627" s="36" t="n">
        <f aca="false">N622*Premissas!$G$77*Premissas!$B$32*N625</f>
        <v>690834.442888123</v>
      </c>
      <c r="O627" s="36" t="n">
        <f aca="false">O622*Premissas!$G$77*Premissas!$B$32*O625</f>
        <v>708105.303960326</v>
      </c>
      <c r="P627" s="3"/>
    </row>
    <row r="628" customFormat="false" ht="15" hidden="false" customHeight="false" outlineLevel="0" collapsed="false">
      <c r="A628" s="3"/>
      <c r="B628" s="4" t="s">
        <v>406</v>
      </c>
      <c r="C628" s="36" t="n">
        <f aca="false">C624*Premissas!$G$77*Premissas!$B$32*(1-Premissas!$B$12)*C625</f>
        <v>0</v>
      </c>
      <c r="D628" s="36" t="n">
        <f aca="false">D624*Premissas!$G$77*Premissas!$B$32*(1-Premissas!$B$12)*D625</f>
        <v>0</v>
      </c>
      <c r="E628" s="36" t="n">
        <f aca="false">E624*Premissas!$G$77*Premissas!$B$32*(1-Premissas!$B$12)*E625</f>
        <v>0</v>
      </c>
      <c r="F628" s="36" t="n">
        <f aca="false">F624*Premissas!$G$77*Premissas!$B$32*(1-Premissas!$B$12)*F625</f>
        <v>401625</v>
      </c>
      <c r="G628" s="36" t="n">
        <f aca="false">G624*Premissas!$G$77*Premissas!$B$32*(1-Premissas!$B$12)*G625</f>
        <v>823331.25</v>
      </c>
      <c r="H628" s="36" t="n">
        <f aca="false">H624*Premissas!$G$77*Premissas!$B$32*(1-Premissas!$B$12)*H625</f>
        <v>843914.53125</v>
      </c>
      <c r="I628" s="36" t="n">
        <f aca="false">I624*Premissas!$G$77*Premissas!$B$32*(1-Premissas!$B$12)*I625</f>
        <v>865012.39453125</v>
      </c>
      <c r="J628" s="36" t="n">
        <f aca="false">J624*Premissas!$G$77*Premissas!$B$32*(1-Premissas!$B$12)*J625</f>
        <v>886637.704394531</v>
      </c>
      <c r="K628" s="36" t="n">
        <f aca="false">K624*Premissas!$G$77*Premissas!$B$32*(1-Premissas!$B$12)*K625</f>
        <v>908803.647004394</v>
      </c>
      <c r="L628" s="36" t="n">
        <f aca="false">L624*Premissas!$G$77*Premissas!$B$32*(1-Premissas!$B$12)*L625</f>
        <v>931523.738179504</v>
      </c>
      <c r="M628" s="36" t="n">
        <f aca="false">M624*Premissas!$G$77*Premissas!$B$32*(1-Premissas!$B$12)*M625</f>
        <v>954811.831633992</v>
      </c>
      <c r="N628" s="36" t="n">
        <f aca="false">N624*Premissas!$G$77*Premissas!$B$32*(1-Premissas!$B$12)*N625</f>
        <v>978682.127424841</v>
      </c>
      <c r="O628" s="36" t="n">
        <f aca="false">O624*Premissas!$G$77*Premissas!$B$32*(1-Premissas!$B$12)*O625</f>
        <v>1003149.18061046</v>
      </c>
      <c r="P628" s="3"/>
    </row>
    <row r="629" customFormat="false" ht="15" hidden="false" customHeight="false" outlineLevel="0" collapsed="false">
      <c r="A629" s="3"/>
      <c r="B629" s="4" t="s">
        <v>407</v>
      </c>
      <c r="C629" s="36" t="n">
        <f aca="false">C623*Premissas!$G$44*Premissas!$B$38*Premissas!$G$78*Premissas!$B$32*(1-Premissas!$B$12)*C625</f>
        <v>0</v>
      </c>
      <c r="D629" s="36" t="n">
        <f aca="false">D623*Premissas!$G$44*Premissas!$B$38*Premissas!$G$78*Premissas!$B$32*(1-Premissas!$B$12)*D625</f>
        <v>0</v>
      </c>
      <c r="E629" s="36" t="n">
        <f aca="false">E623*Premissas!$G$44*Premissas!$B$38*Premissas!$G$78*Premissas!$B$32*(1-Premissas!$B$12)*E625</f>
        <v>0</v>
      </c>
      <c r="F629" s="36" t="n">
        <f aca="false">F623*Premissas!$G$44*Premissas!$B$38*Premissas!$G$78*Premissas!$B$32*(1-Premissas!$B$12)*F625</f>
        <v>257774.4</v>
      </c>
      <c r="G629" s="36" t="n">
        <f aca="false">G623*Premissas!$G$44*Premissas!$B$38*Premissas!$G$78*Premissas!$B$32*(1-Premissas!$B$12)*G625</f>
        <v>264218.76</v>
      </c>
      <c r="H629" s="36" t="n">
        <f aca="false">H623*Premissas!$G$44*Premissas!$B$38*Premissas!$G$78*Premissas!$B$32*(1-Premissas!$B$12)*H625</f>
        <v>270824.229</v>
      </c>
      <c r="I629" s="36" t="n">
        <f aca="false">I623*Premissas!$G$44*Premissas!$B$38*Premissas!$G$78*Premissas!$B$32*(1-Premissas!$B$12)*I625</f>
        <v>277594.834725</v>
      </c>
      <c r="J629" s="36" t="n">
        <f aca="false">J623*Premissas!$G$44*Premissas!$B$38*Premissas!$G$78*Premissas!$B$32*(1-Premissas!$B$12)*J625</f>
        <v>284534.705593125</v>
      </c>
      <c r="K629" s="36" t="n">
        <f aca="false">K623*Premissas!$G$44*Premissas!$B$38*Premissas!$G$78*Premissas!$B$32*(1-Premissas!$B$12)*K625</f>
        <v>291648.073232953</v>
      </c>
      <c r="L629" s="36" t="n">
        <f aca="false">L623*Premissas!$G$44*Premissas!$B$38*Premissas!$G$78*Premissas!$B$32*(1-Premissas!$B$12)*L625</f>
        <v>298939.275063777</v>
      </c>
      <c r="M629" s="36" t="n">
        <f aca="false">M623*Premissas!$G$44*Premissas!$B$38*Premissas!$G$78*Premissas!$B$32*(1-Premissas!$B$12)*M625</f>
        <v>306412.756940371</v>
      </c>
      <c r="N629" s="36" t="n">
        <f aca="false">N623*Premissas!$G$44*Premissas!$B$38*Premissas!$G$78*Premissas!$B$32*(1-Premissas!$B$12)*N625</f>
        <v>314073.07586388</v>
      </c>
      <c r="O629" s="36" t="n">
        <f aca="false">O623*Premissas!$G$44*Premissas!$B$38*Premissas!$G$78*Premissas!$B$32*(1-Premissas!$B$12)*O625</f>
        <v>321924.902760478</v>
      </c>
      <c r="P629" s="3"/>
    </row>
    <row r="630" customFormat="false" ht="15" hidden="false" customHeight="false" outlineLevel="0" collapsed="false">
      <c r="A630" s="3"/>
      <c r="B630" s="4" t="s">
        <v>408</v>
      </c>
      <c r="C630" s="36" t="n">
        <f aca="false">C621*Premissas!$G$44*Premissas!$B$14*Premissas!$B$13*C625</f>
        <v>0</v>
      </c>
      <c r="D630" s="36" t="n">
        <f aca="false">D621*Premissas!$G$44*Premissas!$B$14*Premissas!$B$13*D625</f>
        <v>0</v>
      </c>
      <c r="E630" s="36" t="n">
        <f aca="false">E621*Premissas!$G$44*Premissas!$B$14*Premissas!$B$13*E625</f>
        <v>0</v>
      </c>
      <c r="F630" s="36" t="n">
        <f aca="false">F621*Premissas!$G$44*Premissas!$B$14*Premissas!$B$13*F625</f>
        <v>72900</v>
      </c>
      <c r="G630" s="36" t="n">
        <f aca="false">G621*Premissas!$G$44*Premissas!$B$14*Premissas!$B$13*G625</f>
        <v>99630</v>
      </c>
      <c r="H630" s="36" t="n">
        <f aca="false">H621*Premissas!$G$44*Premissas!$B$14*Premissas!$B$13*H625</f>
        <v>102120.75</v>
      </c>
      <c r="I630" s="36" t="n">
        <f aca="false">I621*Premissas!$G$44*Premissas!$B$14*Premissas!$B$13*I625</f>
        <v>104673.76875</v>
      </c>
      <c r="J630" s="36" t="n">
        <f aca="false">J621*Premissas!$G$44*Premissas!$B$14*Premissas!$B$13*J625</f>
        <v>107290.61296875</v>
      </c>
      <c r="K630" s="36" t="n">
        <f aca="false">K621*Premissas!$G$44*Premissas!$B$14*Premissas!$B$13*K625</f>
        <v>109972.878292969</v>
      </c>
      <c r="L630" s="36" t="n">
        <f aca="false">L621*Premissas!$G$44*Premissas!$B$14*Premissas!$B$13*L625</f>
        <v>112722.200250293</v>
      </c>
      <c r="M630" s="36" t="n">
        <f aca="false">M621*Premissas!$G$44*Premissas!$B$14*Premissas!$B$13*M625</f>
        <v>115540.25525655</v>
      </c>
      <c r="N630" s="36" t="n">
        <f aca="false">N621*Premissas!$G$44*Premissas!$B$14*Premissas!$B$13*N625</f>
        <v>118428.761637964</v>
      </c>
      <c r="O630" s="36" t="n">
        <f aca="false">O621*Premissas!$G$44*Premissas!$B$14*Premissas!$B$13*O625</f>
        <v>121389.480678913</v>
      </c>
      <c r="P630" s="3"/>
    </row>
    <row r="631" customFormat="false" ht="15" hidden="false" customHeight="false" outlineLevel="0" collapsed="false">
      <c r="A631" s="3"/>
      <c r="B631" s="14" t="s">
        <v>409</v>
      </c>
      <c r="C631" s="33" t="n">
        <f aca="false">SUM(C627:C630)</f>
        <v>0</v>
      </c>
      <c r="D631" s="33" t="n">
        <f aca="false">SUM(D627:D630)</f>
        <v>0</v>
      </c>
      <c r="E631" s="33" t="n">
        <f aca="false">SUM(E627:E630)</f>
        <v>0</v>
      </c>
      <c r="F631" s="33" t="n">
        <f aca="false">SUM(F627:F630)</f>
        <v>1299299.4</v>
      </c>
      <c r="G631" s="33" t="n">
        <f aca="false">SUM(G627:G630)</f>
        <v>1768355.01</v>
      </c>
      <c r="H631" s="33" t="n">
        <f aca="false">SUM(H627:H630)</f>
        <v>1812563.88525</v>
      </c>
      <c r="I631" s="33" t="n">
        <f aca="false">SUM(I627:I630)</f>
        <v>1857877.98238125</v>
      </c>
      <c r="J631" s="33" t="n">
        <f aca="false">SUM(J627:J630)</f>
        <v>1904324.93194078</v>
      </c>
      <c r="K631" s="33" t="n">
        <f aca="false">SUM(K627:K630)</f>
        <v>1951933.0552393</v>
      </c>
      <c r="L631" s="33" t="n">
        <f aca="false">SUM(L627:L630)</f>
        <v>2000731.38162028</v>
      </c>
      <c r="M631" s="33" t="n">
        <f aca="false">SUM(M627:M630)</f>
        <v>2050749.66616079</v>
      </c>
      <c r="N631" s="33" t="n">
        <f aca="false">SUM(N627:N630)</f>
        <v>2102018.40781481</v>
      </c>
      <c r="O631" s="33" t="n">
        <f aca="false">SUM(O627:O630)</f>
        <v>2154568.86801018</v>
      </c>
      <c r="P631" s="3"/>
    </row>
    <row r="632" customFormat="false" ht="15" hidden="false" customHeight="false" outlineLevel="0" collapsed="false">
      <c r="A632" s="3"/>
      <c r="B632" s="4" t="s">
        <v>410</v>
      </c>
      <c r="C632" s="36" t="n">
        <f aca="false">-C621*(Premissas!$G$70*Premissas!$B$34/Premissas!$B$6+Premissas!$G$75)*Premissas!$B$33*C626</f>
        <v>-0</v>
      </c>
      <c r="D632" s="36" t="n">
        <f aca="false">-D621*(Premissas!$G$70*Premissas!$B$34/Premissas!$B$6+Premissas!$G$75)*Premissas!$B$33*D626</f>
        <v>-0</v>
      </c>
      <c r="E632" s="36" t="n">
        <f aca="false">-E621*(Premissas!$G$70*Premissas!$B$34/Premissas!$B$6+Premissas!$G$75)*Premissas!$B$33*E626</f>
        <v>-0</v>
      </c>
      <c r="F632" s="36" t="n">
        <f aca="false">-F621*(Premissas!$G$70*Premissas!$B$34/Premissas!$B$6+Premissas!$G$75)*Premissas!$B$33*F626</f>
        <v>-585071.347826087</v>
      </c>
      <c r="G632" s="36" t="n">
        <f aca="false">-G621*(Premissas!$G$70*Premissas!$B$34/Premissas!$B$6+Premissas!$G$75)*Premissas!$B$33*G626</f>
        <v>-803497.984347826</v>
      </c>
      <c r="H632" s="36" t="n">
        <f aca="false">-H621*(Premissas!$G$70*Premissas!$B$34/Premissas!$B$6+Premissas!$G$75)*Premissas!$B$33*H626</f>
        <v>-827602.923878261</v>
      </c>
      <c r="I632" s="36" t="n">
        <f aca="false">-I621*(Premissas!$G$70*Premissas!$B$34/Premissas!$B$6+Premissas!$G$75)*Premissas!$B$33*I626</f>
        <v>-852431.011594609</v>
      </c>
      <c r="J632" s="36" t="n">
        <f aca="false">-J621*(Premissas!$G$70*Premissas!$B$34/Premissas!$B$6+Premissas!$G$75)*Premissas!$B$33*J626</f>
        <v>-878003.941942447</v>
      </c>
      <c r="K632" s="36" t="n">
        <f aca="false">-K621*(Premissas!$G$70*Premissas!$B$34/Premissas!$B$6+Premissas!$G$75)*Premissas!$B$33*K626</f>
        <v>-904344.060200721</v>
      </c>
      <c r="L632" s="36" t="n">
        <f aca="false">-L621*(Premissas!$G$70*Premissas!$B$34/Premissas!$B$6+Premissas!$G$75)*Premissas!$B$33*L626</f>
        <v>-931474.382006742</v>
      </c>
      <c r="M632" s="36" t="n">
        <f aca="false">-M621*(Premissas!$G$70*Premissas!$B$34/Premissas!$B$6+Premissas!$G$75)*Premissas!$B$33*M626</f>
        <v>-959418.613466945</v>
      </c>
      <c r="N632" s="36" t="n">
        <f aca="false">-N621*(Premissas!$G$70*Premissas!$B$34/Premissas!$B$6+Premissas!$G$75)*Premissas!$B$33*N626</f>
        <v>-988201.171870953</v>
      </c>
      <c r="O632" s="36" t="n">
        <f aca="false">-O621*(Premissas!$G$70*Premissas!$B$34/Premissas!$B$6+Premissas!$G$75)*Premissas!$B$33*O626</f>
        <v>-1017847.20702708</v>
      </c>
      <c r="P632" s="3"/>
    </row>
    <row r="633" customFormat="false" ht="15" hidden="false" customHeight="false" outlineLevel="0" collapsed="false">
      <c r="A633" s="3"/>
      <c r="B633" s="4" t="s">
        <v>411</v>
      </c>
      <c r="C633" s="36" t="n">
        <f aca="false">-IF(C$620&gt;=1,Premissas!$G$68*Premissas!$B$33*C626,0)</f>
        <v>-0</v>
      </c>
      <c r="D633" s="36" t="n">
        <f aca="false">-IF(D$620&gt;=1,Premissas!$G$68*Premissas!$B$33*D626,0)</f>
        <v>-0</v>
      </c>
      <c r="E633" s="36" t="n">
        <f aca="false">-IF(E$620&gt;=1,Premissas!$G$68*Premissas!$B$33*E626,0)</f>
        <v>-0</v>
      </c>
      <c r="F633" s="36" t="n">
        <f aca="false">-IF(F$620&gt;=1,Premissas!$G$68*Premissas!$B$33*F626,0)</f>
        <v>-2296276.4</v>
      </c>
      <c r="G633" s="36" t="n">
        <f aca="false">-IF(G$620&gt;=1,Premissas!$G$68*Premissas!$B$33*G626,0)</f>
        <v>-2365164.692</v>
      </c>
      <c r="H633" s="36" t="n">
        <f aca="false">-IF(H$620&gt;=1,Premissas!$G$68*Premissas!$B$33*H626,0)</f>
        <v>-2436119.63276</v>
      </c>
      <c r="I633" s="36" t="n">
        <f aca="false">-IF(I$620&gt;=1,Premissas!$G$68*Premissas!$B$33*I626,0)</f>
        <v>-2509203.2217428</v>
      </c>
      <c r="J633" s="36" t="n">
        <f aca="false">-IF(J$620&gt;=1,Premissas!$G$68*Premissas!$B$33*J626,0)</f>
        <v>-2584479.31839508</v>
      </c>
      <c r="K633" s="36" t="n">
        <f aca="false">-IF(K$620&gt;=1,Premissas!$G$68*Premissas!$B$33*K626,0)</f>
        <v>-2662013.69794694</v>
      </c>
      <c r="L633" s="36" t="n">
        <f aca="false">-IF(L$620&gt;=1,Premissas!$G$68*Premissas!$B$33*L626,0)</f>
        <v>-2741874.10888535</v>
      </c>
      <c r="M633" s="36" t="n">
        <f aca="false">-IF(M$620&gt;=1,Premissas!$G$68*Premissas!$B$33*M626,0)</f>
        <v>-2824130.33215191</v>
      </c>
      <c r="N633" s="36" t="n">
        <f aca="false">-IF(N$620&gt;=1,Premissas!$G$68*Premissas!$B$33*N626,0)</f>
        <v>-2908854.24211646</v>
      </c>
      <c r="O633" s="36" t="n">
        <f aca="false">-IF(O$620&gt;=1,Premissas!$G$68*Premissas!$B$33*O626,0)</f>
        <v>-2996119.86937996</v>
      </c>
      <c r="P633" s="3"/>
    </row>
    <row r="634" customFormat="false" ht="15" hidden="false" customHeight="false" outlineLevel="0" collapsed="false">
      <c r="A634" s="3"/>
      <c r="B634" s="14" t="s">
        <v>412</v>
      </c>
      <c r="C634" s="33" t="n">
        <f aca="false">C631+C632+C633</f>
        <v>0</v>
      </c>
      <c r="D634" s="33" t="n">
        <f aca="false">D631+D632+D633</f>
        <v>0</v>
      </c>
      <c r="E634" s="33" t="n">
        <f aca="false">E631+E632+E633</f>
        <v>0</v>
      </c>
      <c r="F634" s="33" t="n">
        <f aca="false">F631+F632+F633</f>
        <v>-1582048.34782609</v>
      </c>
      <c r="G634" s="33" t="n">
        <f aca="false">G631+G632+G633</f>
        <v>-1400307.66634783</v>
      </c>
      <c r="H634" s="33" t="n">
        <f aca="false">H631+H632+H633</f>
        <v>-1451158.67138826</v>
      </c>
      <c r="I634" s="33" t="n">
        <f aca="false">I631+I632+I633</f>
        <v>-1503756.25095616</v>
      </c>
      <c r="J634" s="33" t="n">
        <f aca="false">J631+J632+J633</f>
        <v>-1558158.32839675</v>
      </c>
      <c r="K634" s="33" t="n">
        <f aca="false">K631+K632+K633</f>
        <v>-1614424.70290836</v>
      </c>
      <c r="L634" s="33" t="n">
        <f aca="false">L631+L632+L633</f>
        <v>-1672617.10927181</v>
      </c>
      <c r="M634" s="33" t="n">
        <f aca="false">M631+M632+M633</f>
        <v>-1732799.27945806</v>
      </c>
      <c r="N634" s="33" t="n">
        <f aca="false">N631+N632+N633</f>
        <v>-1795037.00617261</v>
      </c>
      <c r="O634" s="33" t="n">
        <f aca="false">O631+O632+O633</f>
        <v>-1859398.20839686</v>
      </c>
      <c r="P634" s="3"/>
    </row>
    <row r="635" customFormat="false" ht="15" hidden="false" customHeight="false" outlineLevel="0" collapsed="false">
      <c r="A635" s="3"/>
      <c r="B635" s="4" t="s">
        <v>413</v>
      </c>
      <c r="C635" s="42" t="n">
        <f aca="false">IF(C631=0,0,C634/C631)</f>
        <v>0</v>
      </c>
      <c r="D635" s="42" t="n">
        <f aca="false">IF(D631=0,0,D634/D631)</f>
        <v>0</v>
      </c>
      <c r="E635" s="42" t="n">
        <f aca="false">IF(E631=0,0,E634/E631)</f>
        <v>0</v>
      </c>
      <c r="F635" s="42" t="n">
        <f aca="false">IF(F631=0,0,F634/F631)</f>
        <v>-1.21761646917261</v>
      </c>
      <c r="G635" s="42" t="n">
        <f aca="false">IF(G631=0,0,G634/G631)</f>
        <v>-0.791870217478462</v>
      </c>
      <c r="H635" s="42" t="n">
        <f aca="false">IF(H631=0,0,H634/H631)</f>
        <v>-0.800611047807625</v>
      </c>
      <c r="I635" s="42" t="n">
        <f aca="false">IF(I631=0,0,I634/I631)</f>
        <v>-0.809394516333516</v>
      </c>
      <c r="J635" s="42" t="n">
        <f aca="false">IF(J631=0,0,J634/J631)</f>
        <v>-0.818220831047338</v>
      </c>
      <c r="K635" s="42" t="n">
        <f aca="false">IF(K631=0,0,K634/K631)</f>
        <v>-0.827090200954886</v>
      </c>
      <c r="L635" s="42" t="n">
        <f aca="false">IF(L631=0,0,L634/L631)</f>
        <v>-0.836002836081496</v>
      </c>
      <c r="M635" s="42" t="n">
        <f aca="false">IF(M631=0,0,M634/M631)</f>
        <v>-0.844958947477015</v>
      </c>
      <c r="N635" s="42" t="n">
        <f aca="false">IF(N631=0,0,N634/N631)</f>
        <v>-0.853958747220806</v>
      </c>
      <c r="O635" s="42" t="n">
        <f aca="false">IF(O631=0,0,O634/O631)</f>
        <v>-0.863002448426761</v>
      </c>
      <c r="P635" s="3"/>
    </row>
    <row r="636" customFormat="false" ht="15" hidden="false" customHeight="false" outlineLevel="0" collapsed="false">
      <c r="A636" s="3"/>
      <c r="B636" s="4" t="s">
        <v>414</v>
      </c>
      <c r="C636" s="36" t="n">
        <f aca="false">-IF(C$620&gt;=1,Premissas!$G$52*(1-Premissas!$B$36)/10,0)</f>
        <v>-0</v>
      </c>
      <c r="D636" s="36" t="n">
        <f aca="false">-IF(D$620&gt;=1,Premissas!$G$52*(1-Premissas!$B$36)/10,0)</f>
        <v>-0</v>
      </c>
      <c r="E636" s="36" t="n">
        <f aca="false">-IF(E$620&gt;=1,Premissas!$G$52*(1-Premissas!$B$36)/10,0)</f>
        <v>-0</v>
      </c>
      <c r="F636" s="36" t="n">
        <f aca="false">-IF(F$620&gt;=1,Premissas!$G$52*(1-Premissas!$B$36)/10,0)</f>
        <v>-600000</v>
      </c>
      <c r="G636" s="36" t="n">
        <f aca="false">-IF(G$620&gt;=1,Premissas!$G$52*(1-Premissas!$B$36)/10,0)</f>
        <v>-600000</v>
      </c>
      <c r="H636" s="36" t="n">
        <f aca="false">-IF(H$620&gt;=1,Premissas!$G$52*(1-Premissas!$B$36)/10,0)</f>
        <v>-600000</v>
      </c>
      <c r="I636" s="36" t="n">
        <f aca="false">-IF(I$620&gt;=1,Premissas!$G$52*(1-Premissas!$B$36)/10,0)</f>
        <v>-600000</v>
      </c>
      <c r="J636" s="36" t="n">
        <f aca="false">-IF(J$620&gt;=1,Premissas!$G$52*(1-Premissas!$B$36)/10,0)</f>
        <v>-600000</v>
      </c>
      <c r="K636" s="36" t="n">
        <f aca="false">-IF(K$620&gt;=1,Premissas!$G$52*(1-Premissas!$B$36)/10,0)</f>
        <v>-600000</v>
      </c>
      <c r="L636" s="36" t="n">
        <f aca="false">-IF(L$620&gt;=1,Premissas!$G$52*(1-Premissas!$B$36)/10,0)</f>
        <v>-600000</v>
      </c>
      <c r="M636" s="36" t="n">
        <f aca="false">-IF(M$620&gt;=1,Premissas!$G$52*(1-Premissas!$B$36)/10,0)</f>
        <v>-600000</v>
      </c>
      <c r="N636" s="36" t="n">
        <f aca="false">-IF(N$620&gt;=1,Premissas!$G$52*(1-Premissas!$B$36)/10,0)</f>
        <v>-600000</v>
      </c>
      <c r="O636" s="36" t="n">
        <f aca="false">-IF(O$620&gt;=1,Premissas!$G$52*(1-Premissas!$B$36)/10,0)</f>
        <v>-600000</v>
      </c>
      <c r="P636" s="3"/>
    </row>
    <row r="637" customFormat="false" ht="15" hidden="false" customHeight="false" outlineLevel="0" collapsed="false">
      <c r="A637" s="3"/>
      <c r="B637" s="14" t="s">
        <v>415</v>
      </c>
      <c r="C637" s="40" t="n">
        <f aca="false">C634+C636</f>
        <v>0</v>
      </c>
      <c r="D637" s="40" t="n">
        <f aca="false">D634+D636</f>
        <v>0</v>
      </c>
      <c r="E637" s="40" t="n">
        <f aca="false">E634+E636</f>
        <v>0</v>
      </c>
      <c r="F637" s="40" t="n">
        <f aca="false">F634+F636</f>
        <v>-2182048.34782609</v>
      </c>
      <c r="G637" s="40" t="n">
        <f aca="false">G634+G636</f>
        <v>-2000307.66634783</v>
      </c>
      <c r="H637" s="40" t="n">
        <f aca="false">H634+H636</f>
        <v>-2051158.67138826</v>
      </c>
      <c r="I637" s="40" t="n">
        <f aca="false">I634+I636</f>
        <v>-2103756.25095616</v>
      </c>
      <c r="J637" s="40" t="n">
        <f aca="false">J634+J636</f>
        <v>-2158158.32839675</v>
      </c>
      <c r="K637" s="40" t="n">
        <f aca="false">K634+K636</f>
        <v>-2214424.70290836</v>
      </c>
      <c r="L637" s="40" t="n">
        <f aca="false">L634+L636</f>
        <v>-2272617.10927181</v>
      </c>
      <c r="M637" s="40" t="n">
        <f aca="false">M634+M636</f>
        <v>-2332799.27945806</v>
      </c>
      <c r="N637" s="40" t="n">
        <f aca="false">N634+N636</f>
        <v>-2395037.00617261</v>
      </c>
      <c r="O637" s="40" t="n">
        <f aca="false">O634+O636</f>
        <v>-2459398.20839686</v>
      </c>
      <c r="P637" s="3"/>
    </row>
    <row r="638" customFormat="false" ht="15" hidden="false" customHeight="false" outlineLevel="0" collapsed="false">
      <c r="A638" s="3"/>
      <c r="B638" s="4" t="s">
        <v>416</v>
      </c>
      <c r="C638" s="36" t="n">
        <f aca="false">-MAX(0,C637)*Premissas!$B$11</f>
        <v>-0</v>
      </c>
      <c r="D638" s="36" t="n">
        <f aca="false">-MAX(0,D637)*Premissas!$B$11</f>
        <v>-0</v>
      </c>
      <c r="E638" s="36" t="n">
        <f aca="false">-MAX(0,E637)*Premissas!$B$11</f>
        <v>-0</v>
      </c>
      <c r="F638" s="36" t="n">
        <f aca="false">-MAX(0,F637)*Premissas!$B$11</f>
        <v>-0</v>
      </c>
      <c r="G638" s="36" t="n">
        <f aca="false">-MAX(0,G637)*Premissas!$B$11</f>
        <v>-0</v>
      </c>
      <c r="H638" s="36" t="n">
        <f aca="false">-MAX(0,H637)*Premissas!$B$11</f>
        <v>-0</v>
      </c>
      <c r="I638" s="36" t="n">
        <f aca="false">-MAX(0,I637)*Premissas!$B$11</f>
        <v>-0</v>
      </c>
      <c r="J638" s="36" t="n">
        <f aca="false">-MAX(0,J637)*Premissas!$B$11</f>
        <v>-0</v>
      </c>
      <c r="K638" s="36" t="n">
        <f aca="false">-MAX(0,K637)*Premissas!$B$11</f>
        <v>-0</v>
      </c>
      <c r="L638" s="36" t="n">
        <f aca="false">-MAX(0,L637)*Premissas!$B$11</f>
        <v>-0</v>
      </c>
      <c r="M638" s="36" t="n">
        <f aca="false">-MAX(0,M637)*Premissas!$B$11</f>
        <v>-0</v>
      </c>
      <c r="N638" s="36" t="n">
        <f aca="false">-MAX(0,N637)*Premissas!$B$11</f>
        <v>-0</v>
      </c>
      <c r="O638" s="36" t="n">
        <f aca="false">-MAX(0,O637)*Premissas!$B$11</f>
        <v>-0</v>
      </c>
      <c r="P638" s="3"/>
    </row>
    <row r="639" customFormat="false" ht="15" hidden="false" customHeight="false" outlineLevel="0" collapsed="false">
      <c r="A639" s="3"/>
      <c r="B639" s="4" t="s">
        <v>417</v>
      </c>
      <c r="C639" s="36" t="n">
        <f aca="false">-(IF(C$620=3,Premissas!$G$80,0)+IF(C$620=5,Premissas!$G$81,0)+IF(C$620=8,Premissas!$G$82,0)+IF(C$620=10,Premissas!$G$83,0))*C626</f>
        <v>-0</v>
      </c>
      <c r="D639" s="36" t="n">
        <f aca="false">-(IF(D$620=3,Premissas!$G$80,0)+IF(D$620=5,Premissas!$G$81,0)+IF(D$620=8,Premissas!$G$82,0)+IF(D$620=10,Premissas!$G$83,0))*D626</f>
        <v>-0</v>
      </c>
      <c r="E639" s="36" t="n">
        <f aca="false">-(IF(E$620=3,Premissas!$G$80,0)+IF(E$620=5,Premissas!$G$81,0)+IF(E$620=8,Premissas!$G$82,0)+IF(E$620=10,Premissas!$G$83,0))*E626</f>
        <v>-0</v>
      </c>
      <c r="F639" s="36" t="n">
        <f aca="false">-(IF(F$620=3,Premissas!$G$80,0)+IF(F$620=5,Premissas!$G$81,0)+IF(F$620=8,Premissas!$G$82,0)+IF(F$620=10,Premissas!$G$83,0))*F626</f>
        <v>-0</v>
      </c>
      <c r="G639" s="36" t="n">
        <f aca="false">-(IF(G$620=3,Premissas!$G$80,0)+IF(G$620=5,Premissas!$G$81,0)+IF(G$620=8,Premissas!$G$82,0)+IF(G$620=10,Premissas!$G$83,0))*G626</f>
        <v>-0</v>
      </c>
      <c r="H639" s="36" t="n">
        <f aca="false">-(IF(H$620=3,Premissas!$G$80,0)+IF(H$620=5,Premissas!$G$81,0)+IF(H$620=8,Premissas!$G$82,0)+IF(H$620=10,Premissas!$G$83,0))*H626</f>
        <v>-265225</v>
      </c>
      <c r="I639" s="36" t="n">
        <f aca="false">-(IF(I$620=3,Premissas!$G$80,0)+IF(I$620=5,Premissas!$G$81,0)+IF(I$620=8,Premissas!$G$82,0)+IF(I$620=10,Premissas!$G$83,0))*I626</f>
        <v>-0</v>
      </c>
      <c r="J639" s="36" t="n">
        <f aca="false">-(IF(J$620=3,Premissas!$G$80,0)+IF(J$620=5,Premissas!$G$81,0)+IF(J$620=8,Premissas!$G$82,0)+IF(J$620=10,Premissas!$G$83,0))*J626</f>
        <v>-619029.8455</v>
      </c>
      <c r="K639" s="36" t="n">
        <f aca="false">-(IF(K$620=3,Premissas!$G$80,0)+IF(K$620=5,Premissas!$G$81,0)+IF(K$620=8,Premissas!$G$82,0)+IF(K$620=10,Premissas!$G$83,0))*K626</f>
        <v>-0</v>
      </c>
      <c r="L639" s="36" t="n">
        <f aca="false">-(IF(L$620=3,Premissas!$G$80,0)+IF(L$620=5,Premissas!$G$81,0)+IF(L$620=8,Premissas!$G$82,0)+IF(L$620=10,Premissas!$G$83,0))*L626</f>
        <v>-0</v>
      </c>
      <c r="M639" s="36" t="n">
        <f aca="false">-(IF(M$620=3,Premissas!$G$80,0)+IF(M$620=5,Premissas!$G$81,0)+IF(M$620=8,Premissas!$G$82,0)+IF(M$620=10,Premissas!$G$83,0))*M626</f>
        <v>-368962.159627461</v>
      </c>
      <c r="N639" s="36" t="n">
        <f aca="false">-(IF(N$620=3,Premissas!$G$80,0)+IF(N$620=5,Premissas!$G$81,0)+IF(N$620=8,Premissas!$G$82,0)+IF(N$620=10,Premissas!$G$83,0))*N626</f>
        <v>-0</v>
      </c>
      <c r="O639" s="36" t="n">
        <f aca="false">-(IF(O$620=3,Premissas!$G$80,0)+IF(O$620=5,Premissas!$G$81,0)+IF(O$620=8,Premissas!$G$82,0)+IF(O$620=10,Premissas!$G$83,0))*O626</f>
        <v>-782863.910297547</v>
      </c>
      <c r="P639" s="3"/>
    </row>
    <row r="640" customFormat="false" ht="15" hidden="false" customHeight="false" outlineLevel="0" collapsed="false">
      <c r="A640" s="3"/>
      <c r="B640" s="4" t="s">
        <v>418</v>
      </c>
      <c r="C640" s="36" t="n">
        <f aca="false">-IF(C$620&gt;=1,Premissas!$G$52*(Premissas!$G$84+IF(C$620=6,Premissas!$G$85,0))*C626,0)</f>
        <v>-0</v>
      </c>
      <c r="D640" s="36" t="n">
        <f aca="false">-IF(D$620&gt;=1,Premissas!$G$52*(Premissas!$G$84+IF(D$620=6,Premissas!$G$85,0))*D626,0)</f>
        <v>-0</v>
      </c>
      <c r="E640" s="36" t="n">
        <f aca="false">-IF(E$620&gt;=1,Premissas!$G$52*(Premissas!$G$84+IF(E$620=6,Premissas!$G$85,0))*E626,0)</f>
        <v>-0</v>
      </c>
      <c r="F640" s="36" t="n">
        <f aca="false">-IF(F$620&gt;=1,Premissas!$G$52*(Premissas!$G$84+IF(F$620=6,Premissas!$G$85,0))*F626,0)</f>
        <v>-100000</v>
      </c>
      <c r="G640" s="36" t="n">
        <f aca="false">-IF(G$620&gt;=1,Premissas!$G$52*(Premissas!$G$84+IF(G$620=6,Premissas!$G$85,0))*G626,0)</f>
        <v>-103000</v>
      </c>
      <c r="H640" s="36" t="n">
        <f aca="false">-IF(H$620&gt;=1,Premissas!$G$52*(Premissas!$G$84+IF(H$620=6,Premissas!$G$85,0))*H626,0)</f>
        <v>-106090</v>
      </c>
      <c r="I640" s="36" t="n">
        <f aca="false">-IF(I$620&gt;=1,Premissas!$G$52*(Premissas!$G$84+IF(I$620=6,Premissas!$G$85,0))*I626,0)</f>
        <v>-109272.7</v>
      </c>
      <c r="J640" s="36" t="n">
        <f aca="false">-IF(J$620&gt;=1,Premissas!$G$52*(Premissas!$G$84+IF(J$620=6,Premissas!$G$85,0))*J626,0)</f>
        <v>-112550.881</v>
      </c>
      <c r="K640" s="36" t="n">
        <f aca="false">-IF(K$620&gt;=1,Premissas!$G$52*(Premissas!$G$84+IF(K$620=6,Premissas!$G$85,0))*K626,0)</f>
        <v>-579637.03715</v>
      </c>
      <c r="L640" s="36" t="n">
        <f aca="false">-IF(L$620&gt;=1,Premissas!$G$52*(Premissas!$G$84+IF(L$620=6,Premissas!$G$85,0))*L626,0)</f>
        <v>-119405.2296529</v>
      </c>
      <c r="M640" s="36" t="n">
        <f aca="false">-IF(M$620&gt;=1,Premissas!$G$52*(Premissas!$G$84+IF(M$620=6,Premissas!$G$85,0))*M626,0)</f>
        <v>-122987.386542487</v>
      </c>
      <c r="N640" s="36" t="n">
        <f aca="false">-IF(N$620&gt;=1,Premissas!$G$52*(Premissas!$G$84+IF(N$620=6,Premissas!$G$85,0))*N626,0)</f>
        <v>-126677.008138762</v>
      </c>
      <c r="O640" s="36" t="n">
        <f aca="false">-IF(O$620&gt;=1,Premissas!$G$52*(Premissas!$G$84+IF(O$620=6,Premissas!$G$85,0))*O626,0)</f>
        <v>-130477.318382925</v>
      </c>
      <c r="P640" s="3"/>
    </row>
    <row r="641" customFormat="false" ht="15" hidden="false" customHeight="false" outlineLevel="0" collapsed="false">
      <c r="A641" s="3"/>
      <c r="B641" s="4" t="s">
        <v>419</v>
      </c>
      <c r="C641" s="36" t="n">
        <f aca="false">-Premissas!$G$52*Premissas!$G$53</f>
        <v>-0</v>
      </c>
      <c r="D641" s="36" t="n">
        <f aca="false">-Premissas!$G$52*Premissas!$G$54</f>
        <v>-0</v>
      </c>
      <c r="E641" s="36" t="n">
        <f aca="false">-Premissas!$G$52*Premissas!$G$55</f>
        <v>-10000000</v>
      </c>
      <c r="F641" s="36" t="n">
        <v>0</v>
      </c>
      <c r="G641" s="36" t="n">
        <v>0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6" t="n">
        <v>0</v>
      </c>
      <c r="O641" s="36" t="n">
        <v>0</v>
      </c>
      <c r="P641" s="3"/>
    </row>
    <row r="642" customFormat="false" ht="15" hidden="false" customHeight="false" outlineLevel="0" collapsed="false">
      <c r="A642" s="3"/>
      <c r="B642" s="4" t="s">
        <v>420</v>
      </c>
      <c r="C642" s="36" t="n">
        <f aca="false">IF(C$620=10,Premissas!$G$52*Premissas!$B$36,0)</f>
        <v>0</v>
      </c>
      <c r="D642" s="36" t="n">
        <f aca="false">IF(D$620=10,Premissas!$G$52*Premissas!$B$36,0)</f>
        <v>0</v>
      </c>
      <c r="E642" s="36" t="n">
        <f aca="false">IF(E$620=10,Premissas!$G$52*Premissas!$B$36,0)</f>
        <v>0</v>
      </c>
      <c r="F642" s="36" t="n">
        <f aca="false">IF(F$620=10,Premissas!$G$52*Premissas!$B$36,0)</f>
        <v>0</v>
      </c>
      <c r="G642" s="36" t="n">
        <f aca="false">IF(G$620=10,Premissas!$G$52*Premissas!$B$36,0)</f>
        <v>0</v>
      </c>
      <c r="H642" s="36" t="n">
        <f aca="false">IF(H$620=10,Premissas!$G$52*Premissas!$B$36,0)</f>
        <v>0</v>
      </c>
      <c r="I642" s="36" t="n">
        <f aca="false">IF(I$620=10,Premissas!$G$52*Premissas!$B$36,0)</f>
        <v>0</v>
      </c>
      <c r="J642" s="36" t="n">
        <f aca="false">IF(J$620=10,Premissas!$G$52*Premissas!$B$36,0)</f>
        <v>0</v>
      </c>
      <c r="K642" s="36" t="n">
        <f aca="false">IF(K$620=10,Premissas!$G$52*Premissas!$B$36,0)</f>
        <v>0</v>
      </c>
      <c r="L642" s="36" t="n">
        <f aca="false">IF(L$620=10,Premissas!$G$52*Premissas!$B$36,0)</f>
        <v>0</v>
      </c>
      <c r="M642" s="36" t="n">
        <f aca="false">IF(M$620=10,Premissas!$G$52*Premissas!$B$36,0)</f>
        <v>0</v>
      </c>
      <c r="N642" s="36" t="n">
        <f aca="false">IF(N$620=10,Premissas!$G$52*Premissas!$B$36,0)</f>
        <v>0</v>
      </c>
      <c r="O642" s="36" t="n">
        <f aca="false">IF(O$620=10,Premissas!$G$52*Premissas!$B$36,0)</f>
        <v>4000000</v>
      </c>
      <c r="P642" s="3"/>
    </row>
    <row r="643" customFormat="false" ht="15" hidden="false" customHeight="false" outlineLevel="0" collapsed="false">
      <c r="A643" s="3"/>
      <c r="B643" s="14" t="s">
        <v>421</v>
      </c>
      <c r="C643" s="33" t="n">
        <f aca="false">C634+C638+C639+C640+C641+C642</f>
        <v>0</v>
      </c>
      <c r="D643" s="33" t="n">
        <f aca="false">D634+D638+D639+D640+D641+D642</f>
        <v>0</v>
      </c>
      <c r="E643" s="33" t="n">
        <f aca="false">E634+E638+E639+E640+E641+E642</f>
        <v>-10000000</v>
      </c>
      <c r="F643" s="33" t="n">
        <f aca="false">F634+F638+F639+F640+F641+F642</f>
        <v>-1682048.34782609</v>
      </c>
      <c r="G643" s="33" t="n">
        <f aca="false">G634+G638+G639+G640+G641+G642</f>
        <v>-1503307.66634783</v>
      </c>
      <c r="H643" s="33" t="n">
        <f aca="false">H634+H638+H639+H640+H641+H642</f>
        <v>-1822473.67138826</v>
      </c>
      <c r="I643" s="33" t="n">
        <f aca="false">I634+I638+I639+I640+I641+I642</f>
        <v>-1613028.95095616</v>
      </c>
      <c r="J643" s="33" t="n">
        <f aca="false">J634+J638+J639+J640+J641+J642</f>
        <v>-2289739.05489675</v>
      </c>
      <c r="K643" s="33" t="n">
        <f aca="false">K634+K638+K639+K640+K641+K642</f>
        <v>-2194061.74005836</v>
      </c>
      <c r="L643" s="33" t="n">
        <f aca="false">L634+L638+L639+L640+L641+L642</f>
        <v>-1792022.33892471</v>
      </c>
      <c r="M643" s="33" t="n">
        <f aca="false">M634+M638+M639+M640+M641+M642</f>
        <v>-2224748.82562801</v>
      </c>
      <c r="N643" s="33" t="n">
        <f aca="false">N634+N638+N639+N640+N641+N642</f>
        <v>-1921714.01431137</v>
      </c>
      <c r="O643" s="33" t="n">
        <f aca="false">O634+O638+O639+O640+O641+O642</f>
        <v>1227260.56292267</v>
      </c>
      <c r="P643" s="3"/>
    </row>
    <row r="644" customFormat="false" ht="15" hidden="false" customHeight="false" outlineLevel="0" collapsed="false">
      <c r="A644" s="3"/>
      <c r="B644" s="4" t="s">
        <v>422</v>
      </c>
      <c r="C644" s="36" t="n">
        <f aca="false">C643-C642</f>
        <v>0</v>
      </c>
      <c r="D644" s="36" t="n">
        <f aca="false">C644+D643-D642</f>
        <v>0</v>
      </c>
      <c r="E644" s="36" t="n">
        <f aca="false">D644+E643-E642</f>
        <v>-10000000</v>
      </c>
      <c r="F644" s="36" t="n">
        <f aca="false">E644+F643-F642</f>
        <v>-11682048.3478261</v>
      </c>
      <c r="G644" s="36" t="n">
        <f aca="false">F644+G643-G642</f>
        <v>-13185356.0141739</v>
      </c>
      <c r="H644" s="36" t="n">
        <f aca="false">G644+H643-H642</f>
        <v>-15007829.6855622</v>
      </c>
      <c r="I644" s="36" t="n">
        <f aca="false">H644+I643-I642</f>
        <v>-16620858.6365183</v>
      </c>
      <c r="J644" s="36" t="n">
        <f aca="false">I644+J643-J642</f>
        <v>-18910597.6914151</v>
      </c>
      <c r="K644" s="36" t="n">
        <f aca="false">J644+K643-K642</f>
        <v>-21104659.4314734</v>
      </c>
      <c r="L644" s="36" t="n">
        <f aca="false">K644+L643-L642</f>
        <v>-22896681.7703982</v>
      </c>
      <c r="M644" s="36" t="n">
        <f aca="false">L644+M643-M642</f>
        <v>-25121430.5960262</v>
      </c>
      <c r="N644" s="36" t="n">
        <f aca="false">M644+N643-N642</f>
        <v>-27043144.6103375</v>
      </c>
      <c r="O644" s="36" t="n">
        <f aca="false">N644+O643-O642</f>
        <v>-29815884.0474149</v>
      </c>
      <c r="P644" s="3"/>
    </row>
    <row r="645" customFormat="false" ht="15" hidden="false" customHeight="false" outlineLevel="0" collapsed="false">
      <c r="A645" s="3"/>
      <c r="B645" s="6" t="s">
        <v>423</v>
      </c>
      <c r="C645" s="46" t="n">
        <v>0</v>
      </c>
      <c r="D645" s="46" t="n">
        <v>0</v>
      </c>
      <c r="E645" s="46" t="n">
        <v>0</v>
      </c>
      <c r="F645" s="46" t="n">
        <f aca="false">IF(AND(E644&lt;0,F644&gt;=0),F$620-1+(-E644)/(F643-F642),0)</f>
        <v>0</v>
      </c>
      <c r="G645" s="46" t="n">
        <f aca="false">IF(AND(F644&lt;0,G644&gt;=0),G$620-1+(-F644)/(G643-G642),0)</f>
        <v>0</v>
      </c>
      <c r="H645" s="46" t="n">
        <f aca="false">IF(AND(G644&lt;0,H644&gt;=0),H$620-1+(-G644)/(H643-H642),0)</f>
        <v>0</v>
      </c>
      <c r="I645" s="46" t="n">
        <f aca="false">IF(AND(H644&lt;0,I644&gt;=0),I$620-1+(-H644)/(I643-I642),0)</f>
        <v>0</v>
      </c>
      <c r="J645" s="46" t="n">
        <f aca="false">IF(AND(I644&lt;0,J644&gt;=0),J$620-1+(-I644)/(J643-J642),0)</f>
        <v>0</v>
      </c>
      <c r="K645" s="46" t="n">
        <f aca="false">IF(AND(J644&lt;0,K644&gt;=0),K$620-1+(-J644)/(K643-K642),0)</f>
        <v>0</v>
      </c>
      <c r="L645" s="46" t="n">
        <f aca="false">IF(AND(K644&lt;0,L644&gt;=0),L$620-1+(-K644)/(L643-L642),0)</f>
        <v>0</v>
      </c>
      <c r="M645" s="46" t="n">
        <f aca="false">IF(AND(L644&lt;0,M644&gt;=0),M$620-1+(-L644)/(M643-M642),0)</f>
        <v>0</v>
      </c>
      <c r="N645" s="46" t="n">
        <f aca="false">IF(AND(M644&lt;0,N644&gt;=0),N$620-1+(-M644)/(N643-N642),0)</f>
        <v>0</v>
      </c>
      <c r="O645" s="46" t="n">
        <f aca="false">IF(AND(N644&lt;0,O644&gt;=0),O$620-1+(-N644)/(O643-O642),0)</f>
        <v>0</v>
      </c>
      <c r="P645" s="3"/>
    </row>
    <row r="646" customFormat="false" ht="15" hidden="false" customHeight="false" outlineLevel="0" collapsed="false">
      <c r="A646" s="3"/>
      <c r="B646" s="14" t="s">
        <v>424</v>
      </c>
      <c r="C646" s="47" t="str">
        <f aca="false">IFERROR(IRR(C643:O643,0.05),IFERROR(IRR(C643:O643,-0.05),IF(SUM(C643:O643)&lt;0,"negativa","n/d")))</f>
        <v>negativa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customFormat="false" ht="15" hidden="false" customHeight="false" outlineLevel="0" collapsed="false">
      <c r="A647" s="3"/>
      <c r="B647" s="14" t="s">
        <v>425</v>
      </c>
      <c r="C647" s="48" t="n">
        <f aca="false">C643*(1+Premissas!$B$10)^2+D643*(1+Premissas!$B$10)+E643+NPV(Premissas!$B$10,F643:O643)</f>
        <v>-20202033.0890661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customFormat="false" ht="15" hidden="false" customHeight="false" outlineLevel="0" collapsed="false">
      <c r="A648" s="3"/>
      <c r="B648" s="14" t="s">
        <v>426</v>
      </c>
      <c r="C648" s="49" t="str">
        <f aca="false">IF(SUM(F645:O645)=0,"&gt; 10",SUM(F645:O645))</f>
        <v>&gt; 10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customFormat="false" ht="15" hidden="false" customHeight="false" outlineLevel="0" collapsed="false">
      <c r="A649" s="3"/>
      <c r="B649" s="14" t="s">
        <v>427</v>
      </c>
      <c r="C649" s="47" t="n">
        <f aca="false">SUM(C643:O643)/-SUM(C641:E641)</f>
        <v>-2.58158840474149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customFormat="false" ht="15" hidden="false" customHeight="false" outlineLevel="0" collapsed="false">
      <c r="A650" s="3"/>
      <c r="B650" s="14" t="s">
        <v>428</v>
      </c>
      <c r="C650" s="47" t="n">
        <f aca="false">AVERAGE(F637:O637)*(1-Premissas!$B$11)/-SUM(C641:E641)</f>
        <v>-0.14632005676941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customFormat="false" ht="15" hidden="false" customHeight="false" outlineLevel="0" collapsed="false">
      <c r="A651" s="3"/>
      <c r="B651" s="14" t="s">
        <v>429</v>
      </c>
      <c r="C651" s="48" t="n">
        <f aca="false">H634</f>
        <v>-1451158.67138826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customFormat="false" ht="15" hidden="false" customHeight="false" outlineLevel="0" collapsed="false">
      <c r="A652" s="3"/>
      <c r="B652" s="14" t="s">
        <v>430</v>
      </c>
      <c r="C652" s="48" t="n">
        <f aca="false">H631</f>
        <v>1812563.88525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customFormat="false" ht="15" hidden="false" customHeight="false" outlineLevel="0" collapsed="false">
      <c r="A653" s="3"/>
      <c r="B653" s="14" t="s">
        <v>431</v>
      </c>
      <c r="C653" s="47" t="n">
        <f aca="false">H635</f>
        <v>-0.800611047807625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customFormat="false" ht="15" hidden="false" customHeight="false" outlineLevel="0" collapsed="false">
      <c r="A654" s="3"/>
      <c r="B654" s="14" t="s">
        <v>432</v>
      </c>
      <c r="C654" s="48" t="n">
        <f aca="false">-(H632+H633)</f>
        <v>3263722.55663826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customFormat="false" ht="15" hidden="false" customHeight="false" outlineLevel="0" collapsed="false">
      <c r="A655" s="3"/>
      <c r="B655" s="14" t="s">
        <v>433</v>
      </c>
      <c r="C655" s="50" t="n">
        <f aca="false">IFERROR(-H633/((H631+H632)/H621),"n/d")</f>
        <v>49.4663185303762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customFormat="false" ht="15" hidden="false" customHeight="false" outlineLevel="0" collapsed="false">
      <c r="A656" s="3"/>
      <c r="B656" s="14" t="s">
        <v>434</v>
      </c>
      <c r="C656" s="48" t="n">
        <f aca="false">-SUM(C641:E641)</f>
        <v>10000000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customFormat="false" ht="15" hidden="false" customHeight="false" outlineLevel="0" collapsed="false">
      <c r="A657" s="3"/>
      <c r="B657" s="14" t="s">
        <v>435</v>
      </c>
      <c r="C657" s="48" t="n">
        <f aca="false">O642</f>
        <v>4000000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customFormat="false" ht="15" hidden="false" customHeight="false" outlineLevel="0" collapsed="false">
      <c r="A660" s="3"/>
      <c r="B660" s="19" t="s">
        <v>451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customFormat="false" ht="15" hidden="false" customHeight="false" outlineLevel="0" collapsed="false">
      <c r="A661" s="3"/>
      <c r="B661" s="14" t="s">
        <v>398</v>
      </c>
      <c r="C661" s="44" t="n">
        <v>-2</v>
      </c>
      <c r="D661" s="44" t="n">
        <v>-1</v>
      </c>
      <c r="E661" s="44" t="n">
        <v>0</v>
      </c>
      <c r="F661" s="44" t="n">
        <v>1</v>
      </c>
      <c r="G661" s="44" t="n">
        <v>2</v>
      </c>
      <c r="H661" s="44" t="n">
        <v>3</v>
      </c>
      <c r="I661" s="44" t="n">
        <v>4</v>
      </c>
      <c r="J661" s="44" t="n">
        <v>5</v>
      </c>
      <c r="K661" s="44" t="n">
        <v>6</v>
      </c>
      <c r="L661" s="44" t="n">
        <v>7</v>
      </c>
      <c r="M661" s="44" t="n">
        <v>8</v>
      </c>
      <c r="N661" s="44" t="n">
        <v>9</v>
      </c>
      <c r="O661" s="44" t="n">
        <v>10</v>
      </c>
      <c r="P661" s="3"/>
    </row>
    <row r="662" customFormat="false" ht="15" hidden="false" customHeight="false" outlineLevel="0" collapsed="false">
      <c r="A662" s="3"/>
      <c r="B662" s="4" t="s">
        <v>399</v>
      </c>
      <c r="C662" s="39" t="n">
        <f aca="false">IF(C$661&gt;=1,Premissas!$C$29*IF(C$661=1,Premissas!$C$37,1),0)</f>
        <v>0</v>
      </c>
      <c r="D662" s="39" t="n">
        <f aca="false">IF(D$661&gt;=1,Premissas!$C$29*IF(D$661=1,Premissas!$C$37,1),0)</f>
        <v>0</v>
      </c>
      <c r="E662" s="39" t="n">
        <f aca="false">IF(E$661&gt;=1,Premissas!$C$29*IF(E$661=1,Premissas!$C$37,1),0)</f>
        <v>0</v>
      </c>
      <c r="F662" s="39" t="n">
        <f aca="false">IF(F$661&gt;=1,Premissas!$C$29*IF(F$661=1,Premissas!$C$37,1),0)</f>
        <v>22.1</v>
      </c>
      <c r="G662" s="39" t="n">
        <f aca="false">IF(G$661&gt;=1,Premissas!$C$29*IF(G$661=1,Premissas!$C$37,1),0)</f>
        <v>26</v>
      </c>
      <c r="H662" s="39" t="n">
        <f aca="false">IF(H$661&gt;=1,Premissas!$C$29*IF(H$661=1,Premissas!$C$37,1),0)</f>
        <v>26</v>
      </c>
      <c r="I662" s="39" t="n">
        <f aca="false">IF(I$661&gt;=1,Premissas!$C$29*IF(I$661=1,Premissas!$C$37,1),0)</f>
        <v>26</v>
      </c>
      <c r="J662" s="39" t="n">
        <f aca="false">IF(J$661&gt;=1,Premissas!$C$29*IF(J$661=1,Premissas!$C$37,1),0)</f>
        <v>26</v>
      </c>
      <c r="K662" s="39" t="n">
        <f aca="false">IF(K$661&gt;=1,Premissas!$C$29*IF(K$661=1,Premissas!$C$37,1),0)</f>
        <v>26</v>
      </c>
      <c r="L662" s="39" t="n">
        <f aca="false">IF(L$661&gt;=1,Premissas!$C$29*IF(L$661=1,Premissas!$C$37,1),0)</f>
        <v>26</v>
      </c>
      <c r="M662" s="39" t="n">
        <f aca="false">IF(M$661&gt;=1,Premissas!$C$29*IF(M$661=1,Premissas!$C$37,1),0)</f>
        <v>26</v>
      </c>
      <c r="N662" s="39" t="n">
        <f aca="false">IF(N$661&gt;=1,Premissas!$C$29*IF(N$661=1,Premissas!$C$37,1),0)</f>
        <v>26</v>
      </c>
      <c r="O662" s="39" t="n">
        <f aca="false">IF(O$661&gt;=1,Premissas!$C$29*IF(O$661=1,Premissas!$C$37,1),0)</f>
        <v>26</v>
      </c>
      <c r="P662" s="3"/>
    </row>
    <row r="663" customFormat="false" ht="15" hidden="false" customHeight="false" outlineLevel="0" collapsed="false">
      <c r="A663" s="3"/>
      <c r="B663" s="4" t="s">
        <v>400</v>
      </c>
      <c r="C663" s="39" t="n">
        <f aca="false">MIN(C662,Premissas!$C$30)</f>
        <v>0</v>
      </c>
      <c r="D663" s="39" t="n">
        <f aca="false">MIN(D662,Premissas!$C$30)</f>
        <v>0</v>
      </c>
      <c r="E663" s="39" t="n">
        <f aca="false">MIN(E662,Premissas!$C$30)</f>
        <v>0</v>
      </c>
      <c r="F663" s="39" t="n">
        <f aca="false">MIN(F662,Premissas!$C$30)</f>
        <v>8</v>
      </c>
      <c r="G663" s="39" t="n">
        <f aca="false">MIN(G662,Premissas!$C$30)</f>
        <v>8</v>
      </c>
      <c r="H663" s="39" t="n">
        <f aca="false">MIN(H662,Premissas!$C$30)</f>
        <v>8</v>
      </c>
      <c r="I663" s="39" t="n">
        <f aca="false">MIN(I662,Premissas!$C$30)</f>
        <v>8</v>
      </c>
      <c r="J663" s="39" t="n">
        <f aca="false">MIN(J662,Premissas!$C$30)</f>
        <v>8</v>
      </c>
      <c r="K663" s="39" t="n">
        <f aca="false">MIN(K662,Premissas!$C$30)</f>
        <v>8</v>
      </c>
      <c r="L663" s="39" t="n">
        <f aca="false">MIN(L662,Premissas!$C$30)</f>
        <v>8</v>
      </c>
      <c r="M663" s="39" t="n">
        <f aca="false">MIN(M662,Premissas!$C$30)</f>
        <v>8</v>
      </c>
      <c r="N663" s="39" t="n">
        <f aca="false">MIN(N662,Premissas!$C$30)</f>
        <v>8</v>
      </c>
      <c r="O663" s="39" t="n">
        <f aca="false">MIN(O662,Premissas!$C$30)</f>
        <v>8</v>
      </c>
      <c r="P663" s="3"/>
    </row>
    <row r="664" customFormat="false" ht="15" hidden="false" customHeight="false" outlineLevel="0" collapsed="false">
      <c r="A664" s="3"/>
      <c r="B664" s="4" t="s">
        <v>401</v>
      </c>
      <c r="C664" s="39" t="n">
        <f aca="false">MIN(C662-C663,Premissas!$C$31)</f>
        <v>0</v>
      </c>
      <c r="D664" s="39" t="n">
        <f aca="false">MIN(D662-D663,Premissas!$C$31)</f>
        <v>0</v>
      </c>
      <c r="E664" s="39" t="n">
        <f aca="false">MIN(E662-E663,Premissas!$C$31)</f>
        <v>0</v>
      </c>
      <c r="F664" s="39" t="n">
        <f aca="false">MIN(F662-F663,Premissas!$C$31)</f>
        <v>4</v>
      </c>
      <c r="G664" s="39" t="n">
        <f aca="false">MIN(G662-G663,Premissas!$C$31)</f>
        <v>4</v>
      </c>
      <c r="H664" s="39" t="n">
        <f aca="false">MIN(H662-H663,Premissas!$C$31)</f>
        <v>4</v>
      </c>
      <c r="I664" s="39" t="n">
        <f aca="false">MIN(I662-I663,Premissas!$C$31)</f>
        <v>4</v>
      </c>
      <c r="J664" s="39" t="n">
        <f aca="false">MIN(J662-J663,Premissas!$C$31)</f>
        <v>4</v>
      </c>
      <c r="K664" s="39" t="n">
        <f aca="false">MIN(K662-K663,Premissas!$C$31)</f>
        <v>4</v>
      </c>
      <c r="L664" s="39" t="n">
        <f aca="false">MIN(L662-L663,Premissas!$C$31)</f>
        <v>4</v>
      </c>
      <c r="M664" s="39" t="n">
        <f aca="false">MIN(M662-M663,Premissas!$C$31)</f>
        <v>4</v>
      </c>
      <c r="N664" s="39" t="n">
        <f aca="false">MIN(N662-N663,Premissas!$C$31)</f>
        <v>4</v>
      </c>
      <c r="O664" s="39" t="n">
        <f aca="false">MIN(O662-O663,Premissas!$C$31)</f>
        <v>4</v>
      </c>
      <c r="P664" s="3"/>
    </row>
    <row r="665" customFormat="false" ht="15" hidden="false" customHeight="false" outlineLevel="0" collapsed="false">
      <c r="A665" s="3"/>
      <c r="B665" s="4" t="s">
        <v>402</v>
      </c>
      <c r="C665" s="39" t="n">
        <f aca="false">C662-C663-C664</f>
        <v>0</v>
      </c>
      <c r="D665" s="39" t="n">
        <f aca="false">D662-D663-D664</f>
        <v>0</v>
      </c>
      <c r="E665" s="39" t="n">
        <f aca="false">E662-E663-E664</f>
        <v>0</v>
      </c>
      <c r="F665" s="39" t="n">
        <f aca="false">F662-F663-F664</f>
        <v>10.1</v>
      </c>
      <c r="G665" s="39" t="n">
        <f aca="false">G662-G663-G664</f>
        <v>14</v>
      </c>
      <c r="H665" s="39" t="n">
        <f aca="false">H662-H663-H664</f>
        <v>14</v>
      </c>
      <c r="I665" s="39" t="n">
        <f aca="false">I662-I663-I664</f>
        <v>14</v>
      </c>
      <c r="J665" s="39" t="n">
        <f aca="false">J662-J663-J664</f>
        <v>14</v>
      </c>
      <c r="K665" s="39" t="n">
        <f aca="false">K662-K663-K664</f>
        <v>14</v>
      </c>
      <c r="L665" s="39" t="n">
        <f aca="false">L662-L663-L664</f>
        <v>14</v>
      </c>
      <c r="M665" s="39" t="n">
        <f aca="false">M662-M663-M664</f>
        <v>14</v>
      </c>
      <c r="N665" s="39" t="n">
        <f aca="false">N662-N663-N664</f>
        <v>14</v>
      </c>
      <c r="O665" s="39" t="n">
        <f aca="false">O662-O663-O664</f>
        <v>14</v>
      </c>
      <c r="P665" s="3"/>
    </row>
    <row r="666" customFormat="false" ht="15" hidden="false" customHeight="false" outlineLevel="0" collapsed="false">
      <c r="A666" s="3"/>
      <c r="B666" s="4" t="s">
        <v>403</v>
      </c>
      <c r="C666" s="45" t="n">
        <f aca="false">IF(C$661&gt;=1,(1+Premissas!$B$8)^(C$661-1),0)</f>
        <v>0</v>
      </c>
      <c r="D666" s="45" t="n">
        <f aca="false">IF(D$661&gt;=1,(1+Premissas!$B$8)^(D$661-1),0)</f>
        <v>0</v>
      </c>
      <c r="E666" s="45" t="n">
        <f aca="false">IF(E$661&gt;=1,(1+Premissas!$B$8)^(E$661-1),0)</f>
        <v>0</v>
      </c>
      <c r="F666" s="45" t="n">
        <f aca="false">IF(F$661&gt;=1,(1+Premissas!$B$8)^(F$661-1),0)</f>
        <v>1</v>
      </c>
      <c r="G666" s="45" t="n">
        <f aca="false">IF(G$661&gt;=1,(1+Premissas!$B$8)^(G$661-1),0)</f>
        <v>1.025</v>
      </c>
      <c r="H666" s="45" t="n">
        <f aca="false">IF(H$661&gt;=1,(1+Premissas!$B$8)^(H$661-1),0)</f>
        <v>1.050625</v>
      </c>
      <c r="I666" s="45" t="n">
        <f aca="false">IF(I$661&gt;=1,(1+Premissas!$B$8)^(I$661-1),0)</f>
        <v>1.076890625</v>
      </c>
      <c r="J666" s="45" t="n">
        <f aca="false">IF(J$661&gt;=1,(1+Premissas!$B$8)^(J$661-1),0)</f>
        <v>1.103812890625</v>
      </c>
      <c r="K666" s="45" t="n">
        <f aca="false">IF(K$661&gt;=1,(1+Premissas!$B$8)^(K$661-1),0)</f>
        <v>1.13140821289062</v>
      </c>
      <c r="L666" s="45" t="n">
        <f aca="false">IF(L$661&gt;=1,(1+Premissas!$B$8)^(L$661-1),0)</f>
        <v>1.15969341821289</v>
      </c>
      <c r="M666" s="45" t="n">
        <f aca="false">IF(M$661&gt;=1,(1+Premissas!$B$8)^(M$661-1),0)</f>
        <v>1.18868575366821</v>
      </c>
      <c r="N666" s="45" t="n">
        <f aca="false">IF(N$661&gt;=1,(1+Premissas!$B$8)^(N$661-1),0)</f>
        <v>1.21840289750992</v>
      </c>
      <c r="O666" s="45" t="n">
        <f aca="false">IF(O$661&gt;=1,(1+Premissas!$B$8)^(O$661-1),0)</f>
        <v>1.24886296994767</v>
      </c>
      <c r="P666" s="3"/>
    </row>
    <row r="667" customFormat="false" ht="15" hidden="false" customHeight="false" outlineLevel="0" collapsed="false">
      <c r="A667" s="3"/>
      <c r="B667" s="4" t="s">
        <v>404</v>
      </c>
      <c r="C667" s="45" t="n">
        <f aca="false">IF(C$661&gt;=1,(1+Premissas!$B$9)^(C$661-1),0)</f>
        <v>0</v>
      </c>
      <c r="D667" s="45" t="n">
        <f aca="false">IF(D$661&gt;=1,(1+Premissas!$B$9)^(D$661-1),0)</f>
        <v>0</v>
      </c>
      <c r="E667" s="45" t="n">
        <f aca="false">IF(E$661&gt;=1,(1+Premissas!$B$9)^(E$661-1),0)</f>
        <v>0</v>
      </c>
      <c r="F667" s="45" t="n">
        <f aca="false">IF(F$661&gt;=1,(1+Premissas!$B$9)^(F$661-1),0)</f>
        <v>1</v>
      </c>
      <c r="G667" s="45" t="n">
        <f aca="false">IF(G$661&gt;=1,(1+Premissas!$B$9)^(G$661-1),0)</f>
        <v>1.03</v>
      </c>
      <c r="H667" s="45" t="n">
        <f aca="false">IF(H$661&gt;=1,(1+Premissas!$B$9)^(H$661-1),0)</f>
        <v>1.0609</v>
      </c>
      <c r="I667" s="45" t="n">
        <f aca="false">IF(I$661&gt;=1,(1+Premissas!$B$9)^(I$661-1),0)</f>
        <v>1.092727</v>
      </c>
      <c r="J667" s="45" t="n">
        <f aca="false">IF(J$661&gt;=1,(1+Premissas!$B$9)^(J$661-1),0)</f>
        <v>1.12550881</v>
      </c>
      <c r="K667" s="45" t="n">
        <f aca="false">IF(K$661&gt;=1,(1+Premissas!$B$9)^(K$661-1),0)</f>
        <v>1.1592740743</v>
      </c>
      <c r="L667" s="45" t="n">
        <f aca="false">IF(L$661&gt;=1,(1+Premissas!$B$9)^(L$661-1),0)</f>
        <v>1.194052296529</v>
      </c>
      <c r="M667" s="45" t="n">
        <f aca="false">IF(M$661&gt;=1,(1+Premissas!$B$9)^(M$661-1),0)</f>
        <v>1.22987386542487</v>
      </c>
      <c r="N667" s="45" t="n">
        <f aca="false">IF(N$661&gt;=1,(1+Premissas!$B$9)^(N$661-1),0)</f>
        <v>1.26677008138762</v>
      </c>
      <c r="O667" s="45" t="n">
        <f aca="false">IF(O$661&gt;=1,(1+Premissas!$B$9)^(O$661-1),0)</f>
        <v>1.30477318382925</v>
      </c>
      <c r="P667" s="3"/>
    </row>
    <row r="668" customFormat="false" ht="15" hidden="false" customHeight="false" outlineLevel="0" collapsed="false">
      <c r="A668" s="3"/>
      <c r="B668" s="4" t="s">
        <v>405</v>
      </c>
      <c r="C668" s="36" t="n">
        <f aca="false">C663*Premissas!$G$77*Premissas!$C$32*C666</f>
        <v>0</v>
      </c>
      <c r="D668" s="36" t="n">
        <f aca="false">D663*Premissas!$G$77*Premissas!$C$32*D666</f>
        <v>0</v>
      </c>
      <c r="E668" s="36" t="n">
        <f aca="false">E663*Premissas!$G$77*Premissas!$C$32*E666</f>
        <v>0</v>
      </c>
      <c r="F668" s="36" t="n">
        <f aca="false">F663*Premissas!$G$77*Premissas!$C$32*F666</f>
        <v>840000</v>
      </c>
      <c r="G668" s="36" t="n">
        <f aca="false">G663*Premissas!$G$77*Premissas!$C$32*G666</f>
        <v>861000</v>
      </c>
      <c r="H668" s="36" t="n">
        <f aca="false">H663*Premissas!$G$77*Premissas!$C$32*H666</f>
        <v>882525</v>
      </c>
      <c r="I668" s="36" t="n">
        <f aca="false">I663*Premissas!$G$77*Premissas!$C$32*I666</f>
        <v>904588.125</v>
      </c>
      <c r="J668" s="36" t="n">
        <f aca="false">J663*Premissas!$G$77*Premissas!$C$32*J666</f>
        <v>927202.828125</v>
      </c>
      <c r="K668" s="36" t="n">
        <f aca="false">K663*Premissas!$G$77*Premissas!$C$32*K666</f>
        <v>950382.898828125</v>
      </c>
      <c r="L668" s="36" t="n">
        <f aca="false">L663*Premissas!$G$77*Premissas!$C$32*L666</f>
        <v>974142.471298828</v>
      </c>
      <c r="M668" s="36" t="n">
        <f aca="false">M663*Premissas!$G$77*Premissas!$C$32*M666</f>
        <v>998496.033081298</v>
      </c>
      <c r="N668" s="36" t="n">
        <f aca="false">N663*Premissas!$G$77*Premissas!$C$32*N666</f>
        <v>1023458.43390833</v>
      </c>
      <c r="O668" s="36" t="n">
        <f aca="false">O663*Premissas!$G$77*Premissas!$C$32*O666</f>
        <v>1049044.89475604</v>
      </c>
      <c r="P668" s="3"/>
    </row>
    <row r="669" customFormat="false" ht="15" hidden="false" customHeight="false" outlineLevel="0" collapsed="false">
      <c r="A669" s="3"/>
      <c r="B669" s="4" t="s">
        <v>406</v>
      </c>
      <c r="C669" s="36" t="n">
        <f aca="false">C665*Premissas!$G$77*Premissas!$C$32*(1-Premissas!$B$12)*C666</f>
        <v>0</v>
      </c>
      <c r="D669" s="36" t="n">
        <f aca="false">D665*Premissas!$G$77*Premissas!$C$32*(1-Premissas!$B$12)*D666</f>
        <v>0</v>
      </c>
      <c r="E669" s="36" t="n">
        <f aca="false">E665*Premissas!$G$77*Premissas!$C$32*(1-Premissas!$B$12)*E666</f>
        <v>0</v>
      </c>
      <c r="F669" s="36" t="n">
        <f aca="false">F665*Premissas!$G$77*Premissas!$C$32*(1-Premissas!$B$12)*F666</f>
        <v>901425</v>
      </c>
      <c r="G669" s="36" t="n">
        <f aca="false">G665*Premissas!$G$77*Premissas!$C$32*(1-Premissas!$B$12)*G666</f>
        <v>1280737.5</v>
      </c>
      <c r="H669" s="36" t="n">
        <f aca="false">H665*Premissas!$G$77*Premissas!$C$32*(1-Premissas!$B$12)*H666</f>
        <v>1312755.9375</v>
      </c>
      <c r="I669" s="36" t="n">
        <f aca="false">I665*Premissas!$G$77*Premissas!$C$32*(1-Premissas!$B$12)*I666</f>
        <v>1345574.8359375</v>
      </c>
      <c r="J669" s="36" t="n">
        <f aca="false">J665*Premissas!$G$77*Premissas!$C$32*(1-Premissas!$B$12)*J666</f>
        <v>1379214.20683594</v>
      </c>
      <c r="K669" s="36" t="n">
        <f aca="false">K665*Premissas!$G$77*Premissas!$C$32*(1-Premissas!$B$12)*K666</f>
        <v>1413694.56200684</v>
      </c>
      <c r="L669" s="36" t="n">
        <f aca="false">L665*Premissas!$G$77*Premissas!$C$32*(1-Premissas!$B$12)*L666</f>
        <v>1449036.92605701</v>
      </c>
      <c r="M669" s="36" t="n">
        <f aca="false">M665*Premissas!$G$77*Premissas!$C$32*(1-Premissas!$B$12)*M666</f>
        <v>1485262.84920843</v>
      </c>
      <c r="N669" s="36" t="n">
        <f aca="false">N665*Premissas!$G$77*Premissas!$C$32*(1-Premissas!$B$12)*N666</f>
        <v>1522394.42043864</v>
      </c>
      <c r="O669" s="36" t="n">
        <f aca="false">O665*Premissas!$G$77*Premissas!$C$32*(1-Premissas!$B$12)*O666</f>
        <v>1560454.28094961</v>
      </c>
      <c r="P669" s="3"/>
    </row>
    <row r="670" customFormat="false" ht="15" hidden="false" customHeight="false" outlineLevel="0" collapsed="false">
      <c r="A670" s="3"/>
      <c r="B670" s="4" t="s">
        <v>407</v>
      </c>
      <c r="C670" s="36" t="n">
        <f aca="false">C664*Premissas!$G$44*Premissas!$C$38*Premissas!$G$78*Premissas!$C$32*(1-Premissas!$B$12)*C666</f>
        <v>0</v>
      </c>
      <c r="D670" s="36" t="n">
        <f aca="false">D664*Premissas!$G$44*Premissas!$C$38*Premissas!$G$78*Premissas!$C$32*(1-Premissas!$B$12)*D666</f>
        <v>0</v>
      </c>
      <c r="E670" s="36" t="n">
        <f aca="false">E664*Premissas!$G$44*Premissas!$C$38*Premissas!$G$78*Premissas!$C$32*(1-Premissas!$B$12)*E666</f>
        <v>0</v>
      </c>
      <c r="F670" s="36" t="n">
        <f aca="false">F664*Premissas!$G$44*Premissas!$C$38*Premissas!$G$78*Premissas!$C$32*(1-Premissas!$B$12)*F666</f>
        <v>330480</v>
      </c>
      <c r="G670" s="36" t="n">
        <f aca="false">G664*Premissas!$G$44*Premissas!$C$38*Premissas!$G$78*Premissas!$C$32*(1-Premissas!$B$12)*G666</f>
        <v>338742</v>
      </c>
      <c r="H670" s="36" t="n">
        <f aca="false">H664*Premissas!$G$44*Premissas!$C$38*Premissas!$G$78*Premissas!$C$32*(1-Premissas!$B$12)*H666</f>
        <v>347210.55</v>
      </c>
      <c r="I670" s="36" t="n">
        <f aca="false">I664*Premissas!$G$44*Premissas!$C$38*Premissas!$G$78*Premissas!$C$32*(1-Premissas!$B$12)*I666</f>
        <v>355890.81375</v>
      </c>
      <c r="J670" s="36" t="n">
        <f aca="false">J664*Premissas!$G$44*Premissas!$C$38*Premissas!$G$78*Premissas!$C$32*(1-Premissas!$B$12)*J666</f>
        <v>364788.08409375</v>
      </c>
      <c r="K670" s="36" t="n">
        <f aca="false">K664*Premissas!$G$44*Premissas!$C$38*Premissas!$G$78*Premissas!$C$32*(1-Premissas!$B$12)*K666</f>
        <v>373907.786196094</v>
      </c>
      <c r="L670" s="36" t="n">
        <f aca="false">L664*Premissas!$G$44*Premissas!$C$38*Premissas!$G$78*Premissas!$C$32*(1-Premissas!$B$12)*L666</f>
        <v>383255.480850996</v>
      </c>
      <c r="M670" s="36" t="n">
        <f aca="false">M664*Premissas!$G$44*Premissas!$C$38*Premissas!$G$78*Premissas!$C$32*(1-Premissas!$B$12)*M666</f>
        <v>392836.867872271</v>
      </c>
      <c r="N670" s="36" t="n">
        <f aca="false">N664*Premissas!$G$44*Premissas!$C$38*Premissas!$G$78*Premissas!$C$32*(1-Premissas!$B$12)*N666</f>
        <v>402657.789569077</v>
      </c>
      <c r="O670" s="36" t="n">
        <f aca="false">O664*Premissas!$G$44*Premissas!$C$38*Premissas!$G$78*Premissas!$C$32*(1-Premissas!$B$12)*O666</f>
        <v>412724.234308304</v>
      </c>
      <c r="P670" s="3"/>
    </row>
    <row r="671" customFormat="false" ht="15" hidden="false" customHeight="false" outlineLevel="0" collapsed="false">
      <c r="A671" s="3"/>
      <c r="B671" s="4" t="s">
        <v>408</v>
      </c>
      <c r="C671" s="36" t="n">
        <f aca="false">C662*Premissas!$G$44*Premissas!$B$14*Premissas!$B$13*C666</f>
        <v>0</v>
      </c>
      <c r="D671" s="36" t="n">
        <f aca="false">D662*Premissas!$G$44*Premissas!$B$14*Premissas!$B$13*D666</f>
        <v>0</v>
      </c>
      <c r="E671" s="36" t="n">
        <f aca="false">E662*Premissas!$G$44*Premissas!$B$14*Premissas!$B$13*E666</f>
        <v>0</v>
      </c>
      <c r="F671" s="36" t="n">
        <f aca="false">F662*Premissas!$G$44*Premissas!$B$14*Premissas!$B$13*F666</f>
        <v>107406</v>
      </c>
      <c r="G671" s="36" t="n">
        <f aca="false">G662*Premissas!$G$44*Premissas!$B$14*Premissas!$B$13*G666</f>
        <v>129519</v>
      </c>
      <c r="H671" s="36" t="n">
        <f aca="false">H662*Premissas!$G$44*Premissas!$B$14*Premissas!$B$13*H666</f>
        <v>132756.975</v>
      </c>
      <c r="I671" s="36" t="n">
        <f aca="false">I662*Premissas!$G$44*Premissas!$B$14*Premissas!$B$13*I666</f>
        <v>136075.899375</v>
      </c>
      <c r="J671" s="36" t="n">
        <f aca="false">J662*Premissas!$G$44*Premissas!$B$14*Premissas!$B$13*J666</f>
        <v>139477.796859375</v>
      </c>
      <c r="K671" s="36" t="n">
        <f aca="false">K662*Premissas!$G$44*Premissas!$B$14*Premissas!$B$13*K666</f>
        <v>142964.741780859</v>
      </c>
      <c r="L671" s="36" t="n">
        <f aca="false">L662*Premissas!$G$44*Premissas!$B$14*Premissas!$B$13*L666</f>
        <v>146538.860325381</v>
      </c>
      <c r="M671" s="36" t="n">
        <f aca="false">M662*Premissas!$G$44*Premissas!$B$14*Premissas!$B$13*M666</f>
        <v>150202.331833515</v>
      </c>
      <c r="N671" s="36" t="n">
        <f aca="false">N662*Premissas!$G$44*Premissas!$B$14*Premissas!$B$13*N666</f>
        <v>153957.390129353</v>
      </c>
      <c r="O671" s="36" t="n">
        <f aca="false">O662*Premissas!$G$44*Premissas!$B$14*Premissas!$B$13*O666</f>
        <v>157806.324882587</v>
      </c>
      <c r="P671" s="3"/>
    </row>
    <row r="672" customFormat="false" ht="15" hidden="false" customHeight="false" outlineLevel="0" collapsed="false">
      <c r="A672" s="3"/>
      <c r="B672" s="14" t="s">
        <v>409</v>
      </c>
      <c r="C672" s="33" t="n">
        <f aca="false">SUM(C668:C671)</f>
        <v>0</v>
      </c>
      <c r="D672" s="33" t="n">
        <f aca="false">SUM(D668:D671)</f>
        <v>0</v>
      </c>
      <c r="E672" s="33" t="n">
        <f aca="false">SUM(E668:E671)</f>
        <v>0</v>
      </c>
      <c r="F672" s="33" t="n">
        <f aca="false">SUM(F668:F671)</f>
        <v>2179311</v>
      </c>
      <c r="G672" s="33" t="n">
        <f aca="false">SUM(G668:G671)</f>
        <v>2609998.5</v>
      </c>
      <c r="H672" s="33" t="n">
        <f aca="false">SUM(H668:H671)</f>
        <v>2675248.4625</v>
      </c>
      <c r="I672" s="33" t="n">
        <f aca="false">SUM(I668:I671)</f>
        <v>2742129.6740625</v>
      </c>
      <c r="J672" s="33" t="n">
        <f aca="false">SUM(J668:J671)</f>
        <v>2810682.91591406</v>
      </c>
      <c r="K672" s="33" t="n">
        <f aca="false">SUM(K668:K671)</f>
        <v>2880949.98881191</v>
      </c>
      <c r="L672" s="33" t="n">
        <f aca="false">SUM(L668:L671)</f>
        <v>2952973.73853221</v>
      </c>
      <c r="M672" s="33" t="n">
        <f aca="false">SUM(M668:M671)</f>
        <v>3026798.08199552</v>
      </c>
      <c r="N672" s="33" t="n">
        <f aca="false">SUM(N668:N671)</f>
        <v>3102468.0340454</v>
      </c>
      <c r="O672" s="33" t="n">
        <f aca="false">SUM(O668:O671)</f>
        <v>3180029.73489654</v>
      </c>
      <c r="P672" s="3"/>
    </row>
    <row r="673" customFormat="false" ht="15" hidden="false" customHeight="false" outlineLevel="0" collapsed="false">
      <c r="A673" s="3"/>
      <c r="B673" s="4" t="s">
        <v>410</v>
      </c>
      <c r="C673" s="36" t="n">
        <f aca="false">-C662*(Premissas!$G$70*Premissas!$C$34/Premissas!$B$6+Premissas!$G$75)*Premissas!$C$33*C667</f>
        <v>-0</v>
      </c>
      <c r="D673" s="36" t="n">
        <f aca="false">-D662*(Premissas!$G$70*Premissas!$C$34/Premissas!$B$6+Premissas!$G$75)*Premissas!$C$33*D667</f>
        <v>-0</v>
      </c>
      <c r="E673" s="36" t="n">
        <f aca="false">-E662*(Premissas!$G$70*Premissas!$C$34/Premissas!$B$6+Premissas!$G$75)*Premissas!$C$33*E667</f>
        <v>-0</v>
      </c>
      <c r="F673" s="36" t="n">
        <f aca="false">-F662*(Premissas!$G$70*Premissas!$C$34/Premissas!$B$6+Premissas!$G$75)*Premissas!$C$33*F667</f>
        <v>-668336.669565217</v>
      </c>
      <c r="G673" s="36" t="n">
        <f aca="false">-G662*(Premissas!$G$70*Premissas!$C$34/Premissas!$B$6+Premissas!$G$75)*Premissas!$C$33*G667</f>
        <v>-809866.787826087</v>
      </c>
      <c r="H673" s="36" t="n">
        <f aca="false">-H662*(Premissas!$G$70*Premissas!$C$34/Premissas!$B$6+Premissas!$G$75)*Premissas!$C$33*H667</f>
        <v>-834162.79146087</v>
      </c>
      <c r="I673" s="36" t="n">
        <f aca="false">-I662*(Premissas!$G$70*Premissas!$C$34/Premissas!$B$6+Premissas!$G$75)*Premissas!$C$33*I667</f>
        <v>-859187.675204696</v>
      </c>
      <c r="J673" s="36" t="n">
        <f aca="false">-J662*(Premissas!$G$70*Premissas!$C$34/Premissas!$B$6+Premissas!$G$75)*Premissas!$C$33*J667</f>
        <v>-884963.305460837</v>
      </c>
      <c r="K673" s="36" t="n">
        <f aca="false">-K662*(Premissas!$G$70*Premissas!$C$34/Premissas!$B$6+Premissas!$G$75)*Premissas!$C$33*K667</f>
        <v>-911512.204624662</v>
      </c>
      <c r="L673" s="36" t="n">
        <f aca="false">-L662*(Premissas!$G$70*Premissas!$C$34/Premissas!$B$6+Premissas!$G$75)*Premissas!$C$33*L667</f>
        <v>-938857.570763402</v>
      </c>
      <c r="M673" s="36" t="n">
        <f aca="false">-M662*(Premissas!$G$70*Premissas!$C$34/Premissas!$B$6+Premissas!$G$75)*Premissas!$C$33*M667</f>
        <v>-967023.297886304</v>
      </c>
      <c r="N673" s="36" t="n">
        <f aca="false">-N662*(Premissas!$G$70*Premissas!$C$34/Premissas!$B$6+Premissas!$G$75)*Premissas!$C$33*N667</f>
        <v>-996033.996822893</v>
      </c>
      <c r="O673" s="36" t="n">
        <f aca="false">-O662*(Premissas!$G$70*Premissas!$C$34/Premissas!$B$6+Premissas!$G$75)*Premissas!$C$33*O667</f>
        <v>-1025915.01672758</v>
      </c>
      <c r="P673" s="3"/>
    </row>
    <row r="674" customFormat="false" ht="15" hidden="false" customHeight="false" outlineLevel="0" collapsed="false">
      <c r="A674" s="3"/>
      <c r="B674" s="4" t="s">
        <v>411</v>
      </c>
      <c r="C674" s="36" t="n">
        <f aca="false">-IF(C$661&gt;=1,Premissas!$G$68*Premissas!$C$33*C667,0)</f>
        <v>-0</v>
      </c>
      <c r="D674" s="36" t="n">
        <f aca="false">-IF(D$661&gt;=1,Premissas!$G$68*Premissas!$C$33*D667,0)</f>
        <v>-0</v>
      </c>
      <c r="E674" s="36" t="n">
        <f aca="false">-IF(E$661&gt;=1,Premissas!$G$68*Premissas!$C$33*E667,0)</f>
        <v>-0</v>
      </c>
      <c r="F674" s="36" t="n">
        <f aca="false">-IF(F$661&gt;=1,Premissas!$G$68*Premissas!$C$33*F667,0)</f>
        <v>-2087524</v>
      </c>
      <c r="G674" s="36" t="n">
        <f aca="false">-IF(G$661&gt;=1,Premissas!$G$68*Premissas!$C$33*G667,0)</f>
        <v>-2150149.72</v>
      </c>
      <c r="H674" s="36" t="n">
        <f aca="false">-IF(H$661&gt;=1,Premissas!$G$68*Premissas!$C$33*H667,0)</f>
        <v>-2214654.2116</v>
      </c>
      <c r="I674" s="36" t="n">
        <f aca="false">-IF(I$661&gt;=1,Premissas!$G$68*Premissas!$C$33*I667,0)</f>
        <v>-2281093.837948</v>
      </c>
      <c r="J674" s="36" t="n">
        <f aca="false">-IF(J$661&gt;=1,Premissas!$G$68*Premissas!$C$33*J667,0)</f>
        <v>-2349526.65308644</v>
      </c>
      <c r="K674" s="36" t="n">
        <f aca="false">-IF(K$661&gt;=1,Premissas!$G$68*Premissas!$C$33*K667,0)</f>
        <v>-2420012.45267903</v>
      </c>
      <c r="L674" s="36" t="n">
        <f aca="false">-IF(L$661&gt;=1,Premissas!$G$68*Premissas!$C$33*L667,0)</f>
        <v>-2492612.8262594</v>
      </c>
      <c r="M674" s="36" t="n">
        <f aca="false">-IF(M$661&gt;=1,Premissas!$G$68*Premissas!$C$33*M667,0)</f>
        <v>-2567391.21104719</v>
      </c>
      <c r="N674" s="36" t="n">
        <f aca="false">-IF(N$661&gt;=1,Premissas!$G$68*Premissas!$C$33*N667,0)</f>
        <v>-2644412.9473786</v>
      </c>
      <c r="O674" s="36" t="n">
        <f aca="false">-IF(O$661&gt;=1,Premissas!$G$68*Premissas!$C$33*O667,0)</f>
        <v>-2723745.33579996</v>
      </c>
      <c r="P674" s="3"/>
    </row>
    <row r="675" customFormat="false" ht="15" hidden="false" customHeight="false" outlineLevel="0" collapsed="false">
      <c r="A675" s="3"/>
      <c r="B675" s="14" t="s">
        <v>412</v>
      </c>
      <c r="C675" s="33" t="n">
        <f aca="false">C672+C673+C674</f>
        <v>0</v>
      </c>
      <c r="D675" s="33" t="n">
        <f aca="false">D672+D673+D674</f>
        <v>0</v>
      </c>
      <c r="E675" s="33" t="n">
        <f aca="false">E672+E673+E674</f>
        <v>0</v>
      </c>
      <c r="F675" s="33" t="n">
        <f aca="false">F672+F673+F674</f>
        <v>-576549.669565217</v>
      </c>
      <c r="G675" s="33" t="n">
        <f aca="false">G672+G673+G674</f>
        <v>-350018.007826087</v>
      </c>
      <c r="H675" s="33" t="n">
        <f aca="false">H672+H673+H674</f>
        <v>-373568.54056087</v>
      </c>
      <c r="I675" s="33" t="n">
        <f aca="false">I672+I673+I674</f>
        <v>-398151.839090196</v>
      </c>
      <c r="J675" s="33" t="n">
        <f aca="false">J672+J673+J674</f>
        <v>-423807.042633216</v>
      </c>
      <c r="K675" s="33" t="n">
        <f aca="false">K672+K673+K674</f>
        <v>-450574.668491783</v>
      </c>
      <c r="L675" s="33" t="n">
        <f aca="false">L672+L673+L674</f>
        <v>-478496.658490596</v>
      </c>
      <c r="M675" s="33" t="n">
        <f aca="false">M672+M673+M674</f>
        <v>-507616.426937975</v>
      </c>
      <c r="N675" s="33" t="n">
        <f aca="false">N672+N673+N674</f>
        <v>-537978.910156092</v>
      </c>
      <c r="O675" s="33" t="n">
        <f aca="false">O672+O673+O674</f>
        <v>-569630.617631002</v>
      </c>
      <c r="P675" s="3"/>
    </row>
    <row r="676" customFormat="false" ht="15" hidden="false" customHeight="false" outlineLevel="0" collapsed="false">
      <c r="A676" s="3"/>
      <c r="B676" s="4" t="s">
        <v>413</v>
      </c>
      <c r="C676" s="42" t="n">
        <f aca="false">IF(C672=0,0,C675/C672)</f>
        <v>0</v>
      </c>
      <c r="D676" s="42" t="n">
        <f aca="false">IF(D672=0,0,D675/D672)</f>
        <v>0</v>
      </c>
      <c r="E676" s="42" t="n">
        <f aca="false">IF(E672=0,0,E675/E672)</f>
        <v>0</v>
      </c>
      <c r="F676" s="42" t="n">
        <f aca="false">IF(F672=0,0,F675/F672)</f>
        <v>-0.264555939728298</v>
      </c>
      <c r="G676" s="42" t="n">
        <f aca="false">IF(G672=0,0,G675/G672)</f>
        <v>-0.134106593481217</v>
      </c>
      <c r="H676" s="42" t="n">
        <f aca="false">IF(H672=0,0,H675/H672)</f>
        <v>-0.139638820766492</v>
      </c>
      <c r="I676" s="42" t="n">
        <f aca="false">IF(I672=0,0,I675/I672)</f>
        <v>-0.145198034526328</v>
      </c>
      <c r="J676" s="42" t="n">
        <f aca="false">IF(J672=0,0,J675/J672)</f>
        <v>-0.150784366402067</v>
      </c>
      <c r="K676" s="42" t="n">
        <f aca="false">IF(K672=0,0,K675/K672)</f>
        <v>-0.156397948677199</v>
      </c>
      <c r="L676" s="42" t="n">
        <f aca="false">IF(L672=0,0,L675/L672)</f>
        <v>-0.162038914280503</v>
      </c>
      <c r="M676" s="42" t="n">
        <f aca="false">IF(M672=0,0,M675/M672)</f>
        <v>-0.167707396789188</v>
      </c>
      <c r="N676" s="42" t="n">
        <f aca="false">IF(N672=0,0,N675/N672)</f>
        <v>-0.173403530432062</v>
      </c>
      <c r="O676" s="42" t="n">
        <f aca="false">IF(O672=0,0,O675/O672)</f>
        <v>-0.179127450092707</v>
      </c>
      <c r="P676" s="3"/>
    </row>
    <row r="677" customFormat="false" ht="15" hidden="false" customHeight="false" outlineLevel="0" collapsed="false">
      <c r="A677" s="3"/>
      <c r="B677" s="4" t="s">
        <v>414</v>
      </c>
      <c r="C677" s="36" t="n">
        <f aca="false">-IF(C$661&gt;=1,Premissas!$G$52*(1-Premissas!$C$36)/10,0)</f>
        <v>-0</v>
      </c>
      <c r="D677" s="36" t="n">
        <f aca="false">-IF(D$661&gt;=1,Premissas!$G$52*(1-Premissas!$C$36)/10,0)</f>
        <v>-0</v>
      </c>
      <c r="E677" s="36" t="n">
        <f aca="false">-IF(E$661&gt;=1,Premissas!$G$52*(1-Premissas!$C$36)/10,0)</f>
        <v>-0</v>
      </c>
      <c r="F677" s="36" t="n">
        <f aca="false">-IF(F$661&gt;=1,Premissas!$G$52*(1-Premissas!$C$36)/10,0)</f>
        <v>-500000</v>
      </c>
      <c r="G677" s="36" t="n">
        <f aca="false">-IF(G$661&gt;=1,Premissas!$G$52*(1-Premissas!$C$36)/10,0)</f>
        <v>-500000</v>
      </c>
      <c r="H677" s="36" t="n">
        <f aca="false">-IF(H$661&gt;=1,Premissas!$G$52*(1-Premissas!$C$36)/10,0)</f>
        <v>-500000</v>
      </c>
      <c r="I677" s="36" t="n">
        <f aca="false">-IF(I$661&gt;=1,Premissas!$G$52*(1-Premissas!$C$36)/10,0)</f>
        <v>-500000</v>
      </c>
      <c r="J677" s="36" t="n">
        <f aca="false">-IF(J$661&gt;=1,Premissas!$G$52*(1-Premissas!$C$36)/10,0)</f>
        <v>-500000</v>
      </c>
      <c r="K677" s="36" t="n">
        <f aca="false">-IF(K$661&gt;=1,Premissas!$G$52*(1-Premissas!$C$36)/10,0)</f>
        <v>-500000</v>
      </c>
      <c r="L677" s="36" t="n">
        <f aca="false">-IF(L$661&gt;=1,Premissas!$G$52*(1-Premissas!$C$36)/10,0)</f>
        <v>-500000</v>
      </c>
      <c r="M677" s="36" t="n">
        <f aca="false">-IF(M$661&gt;=1,Premissas!$G$52*(1-Premissas!$C$36)/10,0)</f>
        <v>-500000</v>
      </c>
      <c r="N677" s="36" t="n">
        <f aca="false">-IF(N$661&gt;=1,Premissas!$G$52*(1-Premissas!$C$36)/10,0)</f>
        <v>-500000</v>
      </c>
      <c r="O677" s="36" t="n">
        <f aca="false">-IF(O$661&gt;=1,Premissas!$G$52*(1-Premissas!$C$36)/10,0)</f>
        <v>-500000</v>
      </c>
      <c r="P677" s="3"/>
    </row>
    <row r="678" customFormat="false" ht="15" hidden="false" customHeight="false" outlineLevel="0" collapsed="false">
      <c r="A678" s="3"/>
      <c r="B678" s="14" t="s">
        <v>415</v>
      </c>
      <c r="C678" s="40" t="n">
        <f aca="false">C675+C677</f>
        <v>0</v>
      </c>
      <c r="D678" s="40" t="n">
        <f aca="false">D675+D677</f>
        <v>0</v>
      </c>
      <c r="E678" s="40" t="n">
        <f aca="false">E675+E677</f>
        <v>0</v>
      </c>
      <c r="F678" s="40" t="n">
        <f aca="false">F675+F677</f>
        <v>-1076549.66956522</v>
      </c>
      <c r="G678" s="40" t="n">
        <f aca="false">G675+G677</f>
        <v>-850018.007826087</v>
      </c>
      <c r="H678" s="40" t="n">
        <f aca="false">H675+H677</f>
        <v>-873568.54056087</v>
      </c>
      <c r="I678" s="40" t="n">
        <f aca="false">I675+I677</f>
        <v>-898151.839090196</v>
      </c>
      <c r="J678" s="40" t="n">
        <f aca="false">J675+J677</f>
        <v>-923807.042633216</v>
      </c>
      <c r="K678" s="40" t="n">
        <f aca="false">K675+K677</f>
        <v>-950574.668491783</v>
      </c>
      <c r="L678" s="40" t="n">
        <f aca="false">L675+L677</f>
        <v>-978496.658490596</v>
      </c>
      <c r="M678" s="40" t="n">
        <f aca="false">M675+M677</f>
        <v>-1007616.42693798</v>
      </c>
      <c r="N678" s="40" t="n">
        <f aca="false">N675+N677</f>
        <v>-1037978.91015609</v>
      </c>
      <c r="O678" s="40" t="n">
        <f aca="false">O675+O677</f>
        <v>-1069630.617631</v>
      </c>
      <c r="P678" s="3"/>
    </row>
    <row r="679" customFormat="false" ht="15" hidden="false" customHeight="false" outlineLevel="0" collapsed="false">
      <c r="A679" s="3"/>
      <c r="B679" s="4" t="s">
        <v>416</v>
      </c>
      <c r="C679" s="36" t="n">
        <f aca="false">-MAX(0,C678)*Premissas!$B$11</f>
        <v>-0</v>
      </c>
      <c r="D679" s="36" t="n">
        <f aca="false">-MAX(0,D678)*Premissas!$B$11</f>
        <v>-0</v>
      </c>
      <c r="E679" s="36" t="n">
        <f aca="false">-MAX(0,E678)*Premissas!$B$11</f>
        <v>-0</v>
      </c>
      <c r="F679" s="36" t="n">
        <f aca="false">-MAX(0,F678)*Premissas!$B$11</f>
        <v>-0</v>
      </c>
      <c r="G679" s="36" t="n">
        <f aca="false">-MAX(0,G678)*Premissas!$B$11</f>
        <v>-0</v>
      </c>
      <c r="H679" s="36" t="n">
        <f aca="false">-MAX(0,H678)*Premissas!$B$11</f>
        <v>-0</v>
      </c>
      <c r="I679" s="36" t="n">
        <f aca="false">-MAX(0,I678)*Premissas!$B$11</f>
        <v>-0</v>
      </c>
      <c r="J679" s="36" t="n">
        <f aca="false">-MAX(0,J678)*Premissas!$B$11</f>
        <v>-0</v>
      </c>
      <c r="K679" s="36" t="n">
        <f aca="false">-MAX(0,K678)*Premissas!$B$11</f>
        <v>-0</v>
      </c>
      <c r="L679" s="36" t="n">
        <f aca="false">-MAX(0,L678)*Premissas!$B$11</f>
        <v>-0</v>
      </c>
      <c r="M679" s="36" t="n">
        <f aca="false">-MAX(0,M678)*Premissas!$B$11</f>
        <v>-0</v>
      </c>
      <c r="N679" s="36" t="n">
        <f aca="false">-MAX(0,N678)*Premissas!$B$11</f>
        <v>-0</v>
      </c>
      <c r="O679" s="36" t="n">
        <f aca="false">-MAX(0,O678)*Premissas!$B$11</f>
        <v>-0</v>
      </c>
      <c r="P679" s="3"/>
    </row>
    <row r="680" customFormat="false" ht="15" hidden="false" customHeight="false" outlineLevel="0" collapsed="false">
      <c r="A680" s="3"/>
      <c r="B680" s="4" t="s">
        <v>417</v>
      </c>
      <c r="C680" s="36" t="n">
        <f aca="false">-(IF(C$661=3,Premissas!$G$80,0)+IF(C$661=5,Premissas!$G$81,0)+IF(C$661=8,Premissas!$G$82,0)+IF(C$661=10,Premissas!$G$83,0))*C667</f>
        <v>-0</v>
      </c>
      <c r="D680" s="36" t="n">
        <f aca="false">-(IF(D$661=3,Premissas!$G$80,0)+IF(D$661=5,Premissas!$G$81,0)+IF(D$661=8,Premissas!$G$82,0)+IF(D$661=10,Premissas!$G$83,0))*D667</f>
        <v>-0</v>
      </c>
      <c r="E680" s="36" t="n">
        <f aca="false">-(IF(E$661=3,Premissas!$G$80,0)+IF(E$661=5,Premissas!$G$81,0)+IF(E$661=8,Premissas!$G$82,0)+IF(E$661=10,Premissas!$G$83,0))*E667</f>
        <v>-0</v>
      </c>
      <c r="F680" s="36" t="n">
        <f aca="false">-(IF(F$661=3,Premissas!$G$80,0)+IF(F$661=5,Premissas!$G$81,0)+IF(F$661=8,Premissas!$G$82,0)+IF(F$661=10,Premissas!$G$83,0))*F667</f>
        <v>-0</v>
      </c>
      <c r="G680" s="36" t="n">
        <f aca="false">-(IF(G$661=3,Premissas!$G$80,0)+IF(G$661=5,Premissas!$G$81,0)+IF(G$661=8,Premissas!$G$82,0)+IF(G$661=10,Premissas!$G$83,0))*G667</f>
        <v>-0</v>
      </c>
      <c r="H680" s="36" t="n">
        <f aca="false">-(IF(H$661=3,Premissas!$G$80,0)+IF(H$661=5,Premissas!$G$81,0)+IF(H$661=8,Premissas!$G$82,0)+IF(H$661=10,Premissas!$G$83,0))*H667</f>
        <v>-265225</v>
      </c>
      <c r="I680" s="36" t="n">
        <f aca="false">-(IF(I$661=3,Premissas!$G$80,0)+IF(I$661=5,Premissas!$G$81,0)+IF(I$661=8,Premissas!$G$82,0)+IF(I$661=10,Premissas!$G$83,0))*I667</f>
        <v>-0</v>
      </c>
      <c r="J680" s="36" t="n">
        <f aca="false">-(IF(J$661=3,Premissas!$G$80,0)+IF(J$661=5,Premissas!$G$81,0)+IF(J$661=8,Premissas!$G$82,0)+IF(J$661=10,Premissas!$G$83,0))*J667</f>
        <v>-619029.8455</v>
      </c>
      <c r="K680" s="36" t="n">
        <f aca="false">-(IF(K$661=3,Premissas!$G$80,0)+IF(K$661=5,Premissas!$G$81,0)+IF(K$661=8,Premissas!$G$82,0)+IF(K$661=10,Premissas!$G$83,0))*K667</f>
        <v>-0</v>
      </c>
      <c r="L680" s="36" t="n">
        <f aca="false">-(IF(L$661=3,Premissas!$G$80,0)+IF(L$661=5,Premissas!$G$81,0)+IF(L$661=8,Premissas!$G$82,0)+IF(L$661=10,Premissas!$G$83,0))*L667</f>
        <v>-0</v>
      </c>
      <c r="M680" s="36" t="n">
        <f aca="false">-(IF(M$661=3,Premissas!$G$80,0)+IF(M$661=5,Premissas!$G$81,0)+IF(M$661=8,Premissas!$G$82,0)+IF(M$661=10,Premissas!$G$83,0))*M667</f>
        <v>-368962.159627461</v>
      </c>
      <c r="N680" s="36" t="n">
        <f aca="false">-(IF(N$661=3,Premissas!$G$80,0)+IF(N$661=5,Premissas!$G$81,0)+IF(N$661=8,Premissas!$G$82,0)+IF(N$661=10,Premissas!$G$83,0))*N667</f>
        <v>-0</v>
      </c>
      <c r="O680" s="36" t="n">
        <f aca="false">-(IF(O$661=3,Premissas!$G$80,0)+IF(O$661=5,Premissas!$G$81,0)+IF(O$661=8,Premissas!$G$82,0)+IF(O$661=10,Premissas!$G$83,0))*O667</f>
        <v>-782863.910297547</v>
      </c>
      <c r="P680" s="3"/>
    </row>
    <row r="681" customFormat="false" ht="15" hidden="false" customHeight="false" outlineLevel="0" collapsed="false">
      <c r="A681" s="3"/>
      <c r="B681" s="4" t="s">
        <v>418</v>
      </c>
      <c r="C681" s="36" t="n">
        <f aca="false">-IF(C$661&gt;=1,Premissas!$G$52*(Premissas!$G$84+IF(C$661=6,Premissas!$G$85,0))*C667,0)</f>
        <v>-0</v>
      </c>
      <c r="D681" s="36" t="n">
        <f aca="false">-IF(D$661&gt;=1,Premissas!$G$52*(Premissas!$G$84+IF(D$661=6,Premissas!$G$85,0))*D667,0)</f>
        <v>-0</v>
      </c>
      <c r="E681" s="36" t="n">
        <f aca="false">-IF(E$661&gt;=1,Premissas!$G$52*(Premissas!$G$84+IF(E$661=6,Premissas!$G$85,0))*E667,0)</f>
        <v>-0</v>
      </c>
      <c r="F681" s="36" t="n">
        <f aca="false">-IF(F$661&gt;=1,Premissas!$G$52*(Premissas!$G$84+IF(F$661=6,Premissas!$G$85,0))*F667,0)</f>
        <v>-100000</v>
      </c>
      <c r="G681" s="36" t="n">
        <f aca="false">-IF(G$661&gt;=1,Premissas!$G$52*(Premissas!$G$84+IF(G$661=6,Premissas!$G$85,0))*G667,0)</f>
        <v>-103000</v>
      </c>
      <c r="H681" s="36" t="n">
        <f aca="false">-IF(H$661&gt;=1,Premissas!$G$52*(Premissas!$G$84+IF(H$661=6,Premissas!$G$85,0))*H667,0)</f>
        <v>-106090</v>
      </c>
      <c r="I681" s="36" t="n">
        <f aca="false">-IF(I$661&gt;=1,Premissas!$G$52*(Premissas!$G$84+IF(I$661=6,Premissas!$G$85,0))*I667,0)</f>
        <v>-109272.7</v>
      </c>
      <c r="J681" s="36" t="n">
        <f aca="false">-IF(J$661&gt;=1,Premissas!$G$52*(Premissas!$G$84+IF(J$661=6,Premissas!$G$85,0))*J667,0)</f>
        <v>-112550.881</v>
      </c>
      <c r="K681" s="36" t="n">
        <f aca="false">-IF(K$661&gt;=1,Premissas!$G$52*(Premissas!$G$84+IF(K$661=6,Premissas!$G$85,0))*K667,0)</f>
        <v>-579637.03715</v>
      </c>
      <c r="L681" s="36" t="n">
        <f aca="false">-IF(L$661&gt;=1,Premissas!$G$52*(Premissas!$G$84+IF(L$661=6,Premissas!$G$85,0))*L667,0)</f>
        <v>-119405.2296529</v>
      </c>
      <c r="M681" s="36" t="n">
        <f aca="false">-IF(M$661&gt;=1,Premissas!$G$52*(Premissas!$G$84+IF(M$661=6,Premissas!$G$85,0))*M667,0)</f>
        <v>-122987.386542487</v>
      </c>
      <c r="N681" s="36" t="n">
        <f aca="false">-IF(N$661&gt;=1,Premissas!$G$52*(Premissas!$G$84+IF(N$661=6,Premissas!$G$85,0))*N667,0)</f>
        <v>-126677.008138762</v>
      </c>
      <c r="O681" s="36" t="n">
        <f aca="false">-IF(O$661&gt;=1,Premissas!$G$52*(Premissas!$G$84+IF(O$661=6,Premissas!$G$85,0))*O667,0)</f>
        <v>-130477.318382925</v>
      </c>
      <c r="P681" s="3"/>
    </row>
    <row r="682" customFormat="false" ht="15" hidden="false" customHeight="false" outlineLevel="0" collapsed="false">
      <c r="A682" s="3"/>
      <c r="B682" s="4" t="s">
        <v>419</v>
      </c>
      <c r="C682" s="36" t="n">
        <f aca="false">-Premissas!$G$52*Premissas!$G$53</f>
        <v>-0</v>
      </c>
      <c r="D682" s="36" t="n">
        <f aca="false">-Premissas!$G$52*Premissas!$G$54</f>
        <v>-0</v>
      </c>
      <c r="E682" s="36" t="n">
        <f aca="false">-Premissas!$G$52*Premissas!$G$55</f>
        <v>-10000000</v>
      </c>
      <c r="F682" s="36" t="n">
        <v>0</v>
      </c>
      <c r="G682" s="36" t="n">
        <v>0</v>
      </c>
      <c r="H682" s="36" t="n">
        <v>0</v>
      </c>
      <c r="I682" s="36" t="n">
        <v>0</v>
      </c>
      <c r="J682" s="36" t="n">
        <v>0</v>
      </c>
      <c r="K682" s="36" t="n">
        <v>0</v>
      </c>
      <c r="L682" s="36" t="n">
        <v>0</v>
      </c>
      <c r="M682" s="36" t="n">
        <v>0</v>
      </c>
      <c r="N682" s="36" t="n">
        <v>0</v>
      </c>
      <c r="O682" s="36" t="n">
        <v>0</v>
      </c>
      <c r="P682" s="3"/>
    </row>
    <row r="683" customFormat="false" ht="15" hidden="false" customHeight="false" outlineLevel="0" collapsed="false">
      <c r="A683" s="3"/>
      <c r="B683" s="4" t="s">
        <v>420</v>
      </c>
      <c r="C683" s="36" t="n">
        <f aca="false">IF(C$661=10,Premissas!$G$52*Premissas!$C$36,0)</f>
        <v>0</v>
      </c>
      <c r="D683" s="36" t="n">
        <f aca="false">IF(D$661=10,Premissas!$G$52*Premissas!$C$36,0)</f>
        <v>0</v>
      </c>
      <c r="E683" s="36" t="n">
        <f aca="false">IF(E$661=10,Premissas!$G$52*Premissas!$C$36,0)</f>
        <v>0</v>
      </c>
      <c r="F683" s="36" t="n">
        <f aca="false">IF(F$661=10,Premissas!$G$52*Premissas!$C$36,0)</f>
        <v>0</v>
      </c>
      <c r="G683" s="36" t="n">
        <f aca="false">IF(G$661=10,Premissas!$G$52*Premissas!$C$36,0)</f>
        <v>0</v>
      </c>
      <c r="H683" s="36" t="n">
        <f aca="false">IF(H$661=10,Premissas!$G$52*Premissas!$C$36,0)</f>
        <v>0</v>
      </c>
      <c r="I683" s="36" t="n">
        <f aca="false">IF(I$661=10,Premissas!$G$52*Premissas!$C$36,0)</f>
        <v>0</v>
      </c>
      <c r="J683" s="36" t="n">
        <f aca="false">IF(J$661=10,Premissas!$G$52*Premissas!$C$36,0)</f>
        <v>0</v>
      </c>
      <c r="K683" s="36" t="n">
        <f aca="false">IF(K$661=10,Premissas!$G$52*Premissas!$C$36,0)</f>
        <v>0</v>
      </c>
      <c r="L683" s="36" t="n">
        <f aca="false">IF(L$661=10,Premissas!$G$52*Premissas!$C$36,0)</f>
        <v>0</v>
      </c>
      <c r="M683" s="36" t="n">
        <f aca="false">IF(M$661=10,Premissas!$G$52*Premissas!$C$36,0)</f>
        <v>0</v>
      </c>
      <c r="N683" s="36" t="n">
        <f aca="false">IF(N$661=10,Premissas!$G$52*Premissas!$C$36,0)</f>
        <v>0</v>
      </c>
      <c r="O683" s="36" t="n">
        <f aca="false">IF(O$661=10,Premissas!$G$52*Premissas!$C$36,0)</f>
        <v>5000000</v>
      </c>
      <c r="P683" s="3"/>
    </row>
    <row r="684" customFormat="false" ht="15" hidden="false" customHeight="false" outlineLevel="0" collapsed="false">
      <c r="A684" s="3"/>
      <c r="B684" s="14" t="s">
        <v>421</v>
      </c>
      <c r="C684" s="33" t="n">
        <f aca="false">C675+C679+C680+C681+C682+C683</f>
        <v>0</v>
      </c>
      <c r="D684" s="33" t="n">
        <f aca="false">D675+D679+D680+D681+D682+D683</f>
        <v>0</v>
      </c>
      <c r="E684" s="33" t="n">
        <f aca="false">E675+E679+E680+E681+E682+E683</f>
        <v>-10000000</v>
      </c>
      <c r="F684" s="33" t="n">
        <f aca="false">F675+F679+F680+F681+F682+F683</f>
        <v>-676549.669565217</v>
      </c>
      <c r="G684" s="33" t="n">
        <f aca="false">G675+G679+G680+G681+G682+G683</f>
        <v>-453018.007826087</v>
      </c>
      <c r="H684" s="33" t="n">
        <f aca="false">H675+H679+H680+H681+H682+H683</f>
        <v>-744883.54056087</v>
      </c>
      <c r="I684" s="33" t="n">
        <f aca="false">I675+I679+I680+I681+I682+I683</f>
        <v>-507424.539090196</v>
      </c>
      <c r="J684" s="33" t="n">
        <f aca="false">J675+J679+J680+J681+J682+J683</f>
        <v>-1155387.76913322</v>
      </c>
      <c r="K684" s="33" t="n">
        <f aca="false">K675+K679+K680+K681+K682+K683</f>
        <v>-1030211.70564178</v>
      </c>
      <c r="L684" s="33" t="n">
        <f aca="false">L675+L679+L680+L681+L682+L683</f>
        <v>-597901.888143496</v>
      </c>
      <c r="M684" s="33" t="n">
        <f aca="false">M675+M679+M680+M681+M682+M683</f>
        <v>-999565.973107923</v>
      </c>
      <c r="N684" s="33" t="n">
        <f aca="false">N675+N679+N680+N681+N682+N683</f>
        <v>-664655.918294854</v>
      </c>
      <c r="O684" s="33" t="n">
        <f aca="false">O675+O679+O680+O681+O682+O683</f>
        <v>3517028.15368853</v>
      </c>
      <c r="P684" s="3"/>
    </row>
    <row r="685" customFormat="false" ht="15" hidden="false" customHeight="false" outlineLevel="0" collapsed="false">
      <c r="A685" s="3"/>
      <c r="B685" s="4" t="s">
        <v>422</v>
      </c>
      <c r="C685" s="36" t="n">
        <f aca="false">C684-C683</f>
        <v>0</v>
      </c>
      <c r="D685" s="36" t="n">
        <f aca="false">C685+D684-D683</f>
        <v>0</v>
      </c>
      <c r="E685" s="36" t="n">
        <f aca="false">D685+E684-E683</f>
        <v>-10000000</v>
      </c>
      <c r="F685" s="36" t="n">
        <f aca="false">E685+F684-F683</f>
        <v>-10676549.6695652</v>
      </c>
      <c r="G685" s="36" t="n">
        <f aca="false">F685+G684-G683</f>
        <v>-11129567.6773913</v>
      </c>
      <c r="H685" s="36" t="n">
        <f aca="false">G685+H684-H683</f>
        <v>-11874451.2179522</v>
      </c>
      <c r="I685" s="36" t="n">
        <f aca="false">H685+I684-I683</f>
        <v>-12381875.7570424</v>
      </c>
      <c r="J685" s="36" t="n">
        <f aca="false">I685+J684-J683</f>
        <v>-13537263.5261756</v>
      </c>
      <c r="K685" s="36" t="n">
        <f aca="false">J685+K684-K683</f>
        <v>-14567475.2318174</v>
      </c>
      <c r="L685" s="36" t="n">
        <f aca="false">K685+L684-L683</f>
        <v>-15165377.1199609</v>
      </c>
      <c r="M685" s="36" t="n">
        <f aca="false">L685+M684-M683</f>
        <v>-16164943.0930688</v>
      </c>
      <c r="N685" s="36" t="n">
        <f aca="false">M685+N684-N683</f>
        <v>-16829599.0113636</v>
      </c>
      <c r="O685" s="36" t="n">
        <f aca="false">N685+O684-O683</f>
        <v>-18312570.8576751</v>
      </c>
      <c r="P685" s="3"/>
    </row>
    <row r="686" customFormat="false" ht="15" hidden="false" customHeight="false" outlineLevel="0" collapsed="false">
      <c r="A686" s="3"/>
      <c r="B686" s="6" t="s">
        <v>423</v>
      </c>
      <c r="C686" s="46" t="n">
        <v>0</v>
      </c>
      <c r="D686" s="46" t="n">
        <v>0</v>
      </c>
      <c r="E686" s="46" t="n">
        <v>0</v>
      </c>
      <c r="F686" s="46" t="n">
        <f aca="false">IF(AND(E685&lt;0,F685&gt;=0),F$661-1+(-E685)/(F684-F683),0)</f>
        <v>0</v>
      </c>
      <c r="G686" s="46" t="n">
        <f aca="false">IF(AND(F685&lt;0,G685&gt;=0),G$661-1+(-F685)/(G684-G683),0)</f>
        <v>0</v>
      </c>
      <c r="H686" s="46" t="n">
        <f aca="false">IF(AND(G685&lt;0,H685&gt;=0),H$661-1+(-G685)/(H684-H683),0)</f>
        <v>0</v>
      </c>
      <c r="I686" s="46" t="n">
        <f aca="false">IF(AND(H685&lt;0,I685&gt;=0),I$661-1+(-H685)/(I684-I683),0)</f>
        <v>0</v>
      </c>
      <c r="J686" s="46" t="n">
        <f aca="false">IF(AND(I685&lt;0,J685&gt;=0),J$661-1+(-I685)/(J684-J683),0)</f>
        <v>0</v>
      </c>
      <c r="K686" s="46" t="n">
        <f aca="false">IF(AND(J685&lt;0,K685&gt;=0),K$661-1+(-J685)/(K684-K683),0)</f>
        <v>0</v>
      </c>
      <c r="L686" s="46" t="n">
        <f aca="false">IF(AND(K685&lt;0,L685&gt;=0),L$661-1+(-K685)/(L684-L683),0)</f>
        <v>0</v>
      </c>
      <c r="M686" s="46" t="n">
        <f aca="false">IF(AND(L685&lt;0,M685&gt;=0),M$661-1+(-L685)/(M684-M683),0)</f>
        <v>0</v>
      </c>
      <c r="N686" s="46" t="n">
        <f aca="false">IF(AND(M685&lt;0,N685&gt;=0),N$661-1+(-M685)/(N684-N683),0)</f>
        <v>0</v>
      </c>
      <c r="O686" s="46" t="n">
        <f aca="false">IF(AND(N685&lt;0,O685&gt;=0),O$661-1+(-N685)/(O684-O683),0)</f>
        <v>0</v>
      </c>
      <c r="P686" s="3"/>
    </row>
    <row r="687" customFormat="false" ht="15" hidden="false" customHeight="false" outlineLevel="0" collapsed="false">
      <c r="A687" s="3"/>
      <c r="B687" s="14" t="s">
        <v>424</v>
      </c>
      <c r="C687" s="47" t="str">
        <f aca="false">IFERROR(IRR(C684:O684,0.05),IFERROR(IRR(C684:O684,-0.05),IF(SUM(C684:O684)&lt;0,"negativa","n/d")))</f>
        <v>negativa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customFormat="false" ht="15" hidden="false" customHeight="false" outlineLevel="0" collapsed="false">
      <c r="A688" s="3"/>
      <c r="B688" s="14" t="s">
        <v>425</v>
      </c>
      <c r="C688" s="48" t="n">
        <f aca="false">C684*(1+Premissas!$B$10)^2+D684*(1+Premissas!$B$10)+E684+NPV(Premissas!$B$10,F684:O684)</f>
        <v>-12893628.0710847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customFormat="false" ht="15" hidden="false" customHeight="false" outlineLevel="0" collapsed="false">
      <c r="A689" s="3"/>
      <c r="B689" s="14" t="s">
        <v>426</v>
      </c>
      <c r="C689" s="49" t="str">
        <f aca="false">IF(SUM(F686:O686)=0,"&gt; 10",SUM(F686:O686))</f>
        <v>&gt; 10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customFormat="false" ht="15" hidden="false" customHeight="false" outlineLevel="0" collapsed="false">
      <c r="A690" s="3"/>
      <c r="B690" s="14" t="s">
        <v>427</v>
      </c>
      <c r="C690" s="47" t="n">
        <f aca="false">SUM(C684:O684)/-SUM(C682:E682)</f>
        <v>-1.33125708576751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customFormat="false" ht="15" hidden="false" customHeight="false" outlineLevel="0" collapsed="false">
      <c r="A691" s="3"/>
      <c r="B691" s="14" t="s">
        <v>428</v>
      </c>
      <c r="C691" s="47" t="n">
        <f aca="false">AVERAGE(F678:O678)*(1-Premissas!$B$11)/-SUM(C682:E682)</f>
        <v>-0.063798189717128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customFormat="false" ht="15" hidden="false" customHeight="false" outlineLevel="0" collapsed="false">
      <c r="A692" s="3"/>
      <c r="B692" s="14" t="s">
        <v>429</v>
      </c>
      <c r="C692" s="48" t="n">
        <f aca="false">H675</f>
        <v>-373568.54056087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customFormat="false" ht="15" hidden="false" customHeight="false" outlineLevel="0" collapsed="false">
      <c r="A693" s="3"/>
      <c r="B693" s="14" t="s">
        <v>430</v>
      </c>
      <c r="C693" s="48" t="n">
        <f aca="false">H672</f>
        <v>2675248.4625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customFormat="false" ht="15" hidden="false" customHeight="false" outlineLevel="0" collapsed="false">
      <c r="A694" s="3"/>
      <c r="B694" s="14" t="s">
        <v>431</v>
      </c>
      <c r="C694" s="47" t="n">
        <f aca="false">H676</f>
        <v>-0.139638820766492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customFormat="false" ht="15" hidden="false" customHeight="false" outlineLevel="0" collapsed="false">
      <c r="A695" s="3"/>
      <c r="B695" s="14" t="s">
        <v>432</v>
      </c>
      <c r="C695" s="48" t="n">
        <f aca="false">-(H673+H674)</f>
        <v>3048817.00306087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customFormat="false" ht="15" hidden="false" customHeight="false" outlineLevel="0" collapsed="false">
      <c r="A696" s="3"/>
      <c r="B696" s="14" t="s">
        <v>433</v>
      </c>
      <c r="C696" s="50" t="n">
        <f aca="false">IFERROR(-H674/((H672+H673)/H662),"n/d")</f>
        <v>31.2755731074158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customFormat="false" ht="15" hidden="false" customHeight="false" outlineLevel="0" collapsed="false">
      <c r="A697" s="3"/>
      <c r="B697" s="14" t="s">
        <v>434</v>
      </c>
      <c r="C697" s="48" t="n">
        <f aca="false">-SUM(C682:E682)</f>
        <v>10000000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customFormat="false" ht="15" hidden="false" customHeight="false" outlineLevel="0" collapsed="false">
      <c r="A698" s="3"/>
      <c r="B698" s="14" t="s">
        <v>435</v>
      </c>
      <c r="C698" s="48" t="n">
        <f aca="false">O683</f>
        <v>5000000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customFormat="false" ht="15" hidden="false" customHeight="false" outlineLevel="0" collapsed="false">
      <c r="A701" s="3"/>
      <c r="B701" s="19" t="s">
        <v>452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customFormat="false" ht="15" hidden="false" customHeight="false" outlineLevel="0" collapsed="false">
      <c r="A702" s="3"/>
      <c r="B702" s="14" t="s">
        <v>398</v>
      </c>
      <c r="C702" s="44" t="n">
        <v>-2</v>
      </c>
      <c r="D702" s="44" t="n">
        <v>-1</v>
      </c>
      <c r="E702" s="44" t="n">
        <v>0</v>
      </c>
      <c r="F702" s="44" t="n">
        <v>1</v>
      </c>
      <c r="G702" s="44" t="n">
        <v>2</v>
      </c>
      <c r="H702" s="44" t="n">
        <v>3</v>
      </c>
      <c r="I702" s="44" t="n">
        <v>4</v>
      </c>
      <c r="J702" s="44" t="n">
        <v>5</v>
      </c>
      <c r="K702" s="44" t="n">
        <v>6</v>
      </c>
      <c r="L702" s="44" t="n">
        <v>7</v>
      </c>
      <c r="M702" s="44" t="n">
        <v>8</v>
      </c>
      <c r="N702" s="44" t="n">
        <v>9</v>
      </c>
      <c r="O702" s="44" t="n">
        <v>10</v>
      </c>
      <c r="P702" s="3"/>
    </row>
    <row r="703" customFormat="false" ht="15" hidden="false" customHeight="false" outlineLevel="0" collapsed="false">
      <c r="A703" s="3"/>
      <c r="B703" s="4" t="s">
        <v>399</v>
      </c>
      <c r="C703" s="39" t="n">
        <f aca="false">IF(C$702&gt;=1,Premissas!$D$29*IF(C$702=1,Premissas!$D$37,1),0)</f>
        <v>0</v>
      </c>
      <c r="D703" s="39" t="n">
        <f aca="false">IF(D$702&gt;=1,Premissas!$D$29*IF(D$702=1,Premissas!$D$37,1),0)</f>
        <v>0</v>
      </c>
      <c r="E703" s="39" t="n">
        <f aca="false">IF(E$702&gt;=1,Premissas!$D$29*IF(E$702=1,Premissas!$D$37,1),0)</f>
        <v>0</v>
      </c>
      <c r="F703" s="39" t="n">
        <f aca="false">IF(F$702&gt;=1,Premissas!$D$29*IF(F$702=1,Premissas!$D$37,1),0)</f>
        <v>28.5</v>
      </c>
      <c r="G703" s="39" t="n">
        <f aca="false">IF(G$702&gt;=1,Premissas!$D$29*IF(G$702=1,Premissas!$D$37,1),0)</f>
        <v>30</v>
      </c>
      <c r="H703" s="39" t="n">
        <f aca="false">IF(H$702&gt;=1,Premissas!$D$29*IF(H$702=1,Premissas!$D$37,1),0)</f>
        <v>30</v>
      </c>
      <c r="I703" s="39" t="n">
        <f aca="false">IF(I$702&gt;=1,Premissas!$D$29*IF(I$702=1,Premissas!$D$37,1),0)</f>
        <v>30</v>
      </c>
      <c r="J703" s="39" t="n">
        <f aca="false">IF(J$702&gt;=1,Premissas!$D$29*IF(J$702=1,Premissas!$D$37,1),0)</f>
        <v>30</v>
      </c>
      <c r="K703" s="39" t="n">
        <f aca="false">IF(K$702&gt;=1,Premissas!$D$29*IF(K$702=1,Premissas!$D$37,1),0)</f>
        <v>30</v>
      </c>
      <c r="L703" s="39" t="n">
        <f aca="false">IF(L$702&gt;=1,Premissas!$D$29*IF(L$702=1,Premissas!$D$37,1),0)</f>
        <v>30</v>
      </c>
      <c r="M703" s="39" t="n">
        <f aca="false">IF(M$702&gt;=1,Premissas!$D$29*IF(M$702=1,Premissas!$D$37,1),0)</f>
        <v>30</v>
      </c>
      <c r="N703" s="39" t="n">
        <f aca="false">IF(N$702&gt;=1,Premissas!$D$29*IF(N$702=1,Premissas!$D$37,1),0)</f>
        <v>30</v>
      </c>
      <c r="O703" s="39" t="n">
        <f aca="false">IF(O$702&gt;=1,Premissas!$D$29*IF(O$702=1,Premissas!$D$37,1),0)</f>
        <v>30</v>
      </c>
      <c r="P703" s="3"/>
    </row>
    <row r="704" customFormat="false" ht="15" hidden="false" customHeight="false" outlineLevel="0" collapsed="false">
      <c r="A704" s="3"/>
      <c r="B704" s="4" t="s">
        <v>400</v>
      </c>
      <c r="C704" s="39" t="n">
        <f aca="false">MIN(C703,Premissas!$D$30)</f>
        <v>0</v>
      </c>
      <c r="D704" s="39" t="n">
        <f aca="false">MIN(D703,Premissas!$D$30)</f>
        <v>0</v>
      </c>
      <c r="E704" s="39" t="n">
        <f aca="false">MIN(E703,Premissas!$D$30)</f>
        <v>0</v>
      </c>
      <c r="F704" s="39" t="n">
        <f aca="false">MIN(F703,Premissas!$D$30)</f>
        <v>12</v>
      </c>
      <c r="G704" s="39" t="n">
        <f aca="false">MIN(G703,Premissas!$D$30)</f>
        <v>12</v>
      </c>
      <c r="H704" s="39" t="n">
        <f aca="false">MIN(H703,Premissas!$D$30)</f>
        <v>12</v>
      </c>
      <c r="I704" s="39" t="n">
        <f aca="false">MIN(I703,Premissas!$D$30)</f>
        <v>12</v>
      </c>
      <c r="J704" s="39" t="n">
        <f aca="false">MIN(J703,Premissas!$D$30)</f>
        <v>12</v>
      </c>
      <c r="K704" s="39" t="n">
        <f aca="false">MIN(K703,Premissas!$D$30)</f>
        <v>12</v>
      </c>
      <c r="L704" s="39" t="n">
        <f aca="false">MIN(L703,Premissas!$D$30)</f>
        <v>12</v>
      </c>
      <c r="M704" s="39" t="n">
        <f aca="false">MIN(M703,Premissas!$D$30)</f>
        <v>12</v>
      </c>
      <c r="N704" s="39" t="n">
        <f aca="false">MIN(N703,Premissas!$D$30)</f>
        <v>12</v>
      </c>
      <c r="O704" s="39" t="n">
        <f aca="false">MIN(O703,Premissas!$D$30)</f>
        <v>12</v>
      </c>
      <c r="P704" s="3"/>
    </row>
    <row r="705" customFormat="false" ht="15" hidden="false" customHeight="false" outlineLevel="0" collapsed="false">
      <c r="A705" s="3"/>
      <c r="B705" s="4" t="s">
        <v>401</v>
      </c>
      <c r="C705" s="39" t="n">
        <f aca="false">MIN(C703-C704,Premissas!$D$31)</f>
        <v>0</v>
      </c>
      <c r="D705" s="39" t="n">
        <f aca="false">MIN(D703-D704,Premissas!$D$31)</f>
        <v>0</v>
      </c>
      <c r="E705" s="39" t="n">
        <f aca="false">MIN(E703-E704,Premissas!$D$31)</f>
        <v>0</v>
      </c>
      <c r="F705" s="39" t="n">
        <f aca="false">MIN(F703-F704,Premissas!$D$31)</f>
        <v>4</v>
      </c>
      <c r="G705" s="39" t="n">
        <f aca="false">MIN(G703-G704,Premissas!$D$31)</f>
        <v>4</v>
      </c>
      <c r="H705" s="39" t="n">
        <f aca="false">MIN(H703-H704,Premissas!$D$31)</f>
        <v>4</v>
      </c>
      <c r="I705" s="39" t="n">
        <f aca="false">MIN(I703-I704,Premissas!$D$31)</f>
        <v>4</v>
      </c>
      <c r="J705" s="39" t="n">
        <f aca="false">MIN(J703-J704,Premissas!$D$31)</f>
        <v>4</v>
      </c>
      <c r="K705" s="39" t="n">
        <f aca="false">MIN(K703-K704,Premissas!$D$31)</f>
        <v>4</v>
      </c>
      <c r="L705" s="39" t="n">
        <f aca="false">MIN(L703-L704,Premissas!$D$31)</f>
        <v>4</v>
      </c>
      <c r="M705" s="39" t="n">
        <f aca="false">MIN(M703-M704,Premissas!$D$31)</f>
        <v>4</v>
      </c>
      <c r="N705" s="39" t="n">
        <f aca="false">MIN(N703-N704,Premissas!$D$31)</f>
        <v>4</v>
      </c>
      <c r="O705" s="39" t="n">
        <f aca="false">MIN(O703-O704,Premissas!$D$31)</f>
        <v>4</v>
      </c>
      <c r="P705" s="3"/>
    </row>
    <row r="706" customFormat="false" ht="15" hidden="false" customHeight="false" outlineLevel="0" collapsed="false">
      <c r="A706" s="3"/>
      <c r="B706" s="4" t="s">
        <v>402</v>
      </c>
      <c r="C706" s="39" t="n">
        <f aca="false">C703-C704-C705</f>
        <v>0</v>
      </c>
      <c r="D706" s="39" t="n">
        <f aca="false">D703-D704-D705</f>
        <v>0</v>
      </c>
      <c r="E706" s="39" t="n">
        <f aca="false">E703-E704-E705</f>
        <v>0</v>
      </c>
      <c r="F706" s="39" t="n">
        <f aca="false">F703-F704-F705</f>
        <v>12.5</v>
      </c>
      <c r="G706" s="39" t="n">
        <f aca="false">G703-G704-G705</f>
        <v>14</v>
      </c>
      <c r="H706" s="39" t="n">
        <f aca="false">H703-H704-H705</f>
        <v>14</v>
      </c>
      <c r="I706" s="39" t="n">
        <f aca="false">I703-I704-I705</f>
        <v>14</v>
      </c>
      <c r="J706" s="39" t="n">
        <f aca="false">J703-J704-J705</f>
        <v>14</v>
      </c>
      <c r="K706" s="39" t="n">
        <f aca="false">K703-K704-K705</f>
        <v>14</v>
      </c>
      <c r="L706" s="39" t="n">
        <f aca="false">L703-L704-L705</f>
        <v>14</v>
      </c>
      <c r="M706" s="39" t="n">
        <f aca="false">M703-M704-M705</f>
        <v>14</v>
      </c>
      <c r="N706" s="39" t="n">
        <f aca="false">N703-N704-N705</f>
        <v>14</v>
      </c>
      <c r="O706" s="39" t="n">
        <f aca="false">O703-O704-O705</f>
        <v>14</v>
      </c>
      <c r="P706" s="3"/>
    </row>
    <row r="707" customFormat="false" ht="15" hidden="false" customHeight="false" outlineLevel="0" collapsed="false">
      <c r="A707" s="3"/>
      <c r="B707" s="4" t="s">
        <v>403</v>
      </c>
      <c r="C707" s="45" t="n">
        <f aca="false">IF(C$702&gt;=1,(1+Premissas!$B$8)^(C$702-1),0)</f>
        <v>0</v>
      </c>
      <c r="D707" s="45" t="n">
        <f aca="false">IF(D$702&gt;=1,(1+Premissas!$B$8)^(D$702-1),0)</f>
        <v>0</v>
      </c>
      <c r="E707" s="45" t="n">
        <f aca="false">IF(E$702&gt;=1,(1+Premissas!$B$8)^(E$702-1),0)</f>
        <v>0</v>
      </c>
      <c r="F707" s="45" t="n">
        <f aca="false">IF(F$702&gt;=1,(1+Premissas!$B$8)^(F$702-1),0)</f>
        <v>1</v>
      </c>
      <c r="G707" s="45" t="n">
        <f aca="false">IF(G$702&gt;=1,(1+Premissas!$B$8)^(G$702-1),0)</f>
        <v>1.025</v>
      </c>
      <c r="H707" s="45" t="n">
        <f aca="false">IF(H$702&gt;=1,(1+Premissas!$B$8)^(H$702-1),0)</f>
        <v>1.050625</v>
      </c>
      <c r="I707" s="45" t="n">
        <f aca="false">IF(I$702&gt;=1,(1+Premissas!$B$8)^(I$702-1),0)</f>
        <v>1.076890625</v>
      </c>
      <c r="J707" s="45" t="n">
        <f aca="false">IF(J$702&gt;=1,(1+Premissas!$B$8)^(J$702-1),0)</f>
        <v>1.103812890625</v>
      </c>
      <c r="K707" s="45" t="n">
        <f aca="false">IF(K$702&gt;=1,(1+Premissas!$B$8)^(K$702-1),0)</f>
        <v>1.13140821289062</v>
      </c>
      <c r="L707" s="45" t="n">
        <f aca="false">IF(L$702&gt;=1,(1+Premissas!$B$8)^(L$702-1),0)</f>
        <v>1.15969341821289</v>
      </c>
      <c r="M707" s="45" t="n">
        <f aca="false">IF(M$702&gt;=1,(1+Premissas!$B$8)^(M$702-1),0)</f>
        <v>1.18868575366821</v>
      </c>
      <c r="N707" s="45" t="n">
        <f aca="false">IF(N$702&gt;=1,(1+Premissas!$B$8)^(N$702-1),0)</f>
        <v>1.21840289750992</v>
      </c>
      <c r="O707" s="45" t="n">
        <f aca="false">IF(O$702&gt;=1,(1+Premissas!$B$8)^(O$702-1),0)</f>
        <v>1.24886296994767</v>
      </c>
      <c r="P707" s="3"/>
    </row>
    <row r="708" customFormat="false" ht="15" hidden="false" customHeight="false" outlineLevel="0" collapsed="false">
      <c r="A708" s="3"/>
      <c r="B708" s="4" t="s">
        <v>404</v>
      </c>
      <c r="C708" s="45" t="n">
        <f aca="false">IF(C$702&gt;=1,(1+Premissas!$B$9)^(C$702-1),0)</f>
        <v>0</v>
      </c>
      <c r="D708" s="45" t="n">
        <f aca="false">IF(D$702&gt;=1,(1+Premissas!$B$9)^(D$702-1),0)</f>
        <v>0</v>
      </c>
      <c r="E708" s="45" t="n">
        <f aca="false">IF(E$702&gt;=1,(1+Premissas!$B$9)^(E$702-1),0)</f>
        <v>0</v>
      </c>
      <c r="F708" s="45" t="n">
        <f aca="false">IF(F$702&gt;=1,(1+Premissas!$B$9)^(F$702-1),0)</f>
        <v>1</v>
      </c>
      <c r="G708" s="45" t="n">
        <f aca="false">IF(G$702&gt;=1,(1+Premissas!$B$9)^(G$702-1),0)</f>
        <v>1.03</v>
      </c>
      <c r="H708" s="45" t="n">
        <f aca="false">IF(H$702&gt;=1,(1+Premissas!$B$9)^(H$702-1),0)</f>
        <v>1.0609</v>
      </c>
      <c r="I708" s="45" t="n">
        <f aca="false">IF(I$702&gt;=1,(1+Premissas!$B$9)^(I$702-1),0)</f>
        <v>1.092727</v>
      </c>
      <c r="J708" s="45" t="n">
        <f aca="false">IF(J$702&gt;=1,(1+Premissas!$B$9)^(J$702-1),0)</f>
        <v>1.12550881</v>
      </c>
      <c r="K708" s="45" t="n">
        <f aca="false">IF(K$702&gt;=1,(1+Premissas!$B$9)^(K$702-1),0)</f>
        <v>1.1592740743</v>
      </c>
      <c r="L708" s="45" t="n">
        <f aca="false">IF(L$702&gt;=1,(1+Premissas!$B$9)^(L$702-1),0)</f>
        <v>1.194052296529</v>
      </c>
      <c r="M708" s="45" t="n">
        <f aca="false">IF(M$702&gt;=1,(1+Premissas!$B$9)^(M$702-1),0)</f>
        <v>1.22987386542487</v>
      </c>
      <c r="N708" s="45" t="n">
        <f aca="false">IF(N$702&gt;=1,(1+Premissas!$B$9)^(N$702-1),0)</f>
        <v>1.26677008138762</v>
      </c>
      <c r="O708" s="45" t="n">
        <f aca="false">IF(O$702&gt;=1,(1+Premissas!$B$9)^(O$702-1),0)</f>
        <v>1.30477318382925</v>
      </c>
      <c r="P708" s="3"/>
    </row>
    <row r="709" customFormat="false" ht="15" hidden="false" customHeight="false" outlineLevel="0" collapsed="false">
      <c r="A709" s="3"/>
      <c r="B709" s="4" t="s">
        <v>405</v>
      </c>
      <c r="C709" s="36" t="n">
        <f aca="false">C704*Premissas!$G$77*Premissas!$D$32*C707</f>
        <v>0</v>
      </c>
      <c r="D709" s="36" t="n">
        <f aca="false">D704*Premissas!$G$77*Premissas!$D$32*D707</f>
        <v>0</v>
      </c>
      <c r="E709" s="36" t="n">
        <f aca="false">E704*Premissas!$G$77*Premissas!$D$32*E707</f>
        <v>0</v>
      </c>
      <c r="F709" s="36" t="n">
        <f aca="false">F704*Premissas!$G$77*Premissas!$D$32*F707</f>
        <v>1386000</v>
      </c>
      <c r="G709" s="36" t="n">
        <f aca="false">G704*Premissas!$G$77*Premissas!$D$32*G707</f>
        <v>1420650</v>
      </c>
      <c r="H709" s="36" t="n">
        <f aca="false">H704*Premissas!$G$77*Premissas!$D$32*H707</f>
        <v>1456166.25</v>
      </c>
      <c r="I709" s="36" t="n">
        <f aca="false">I704*Premissas!$G$77*Premissas!$D$32*I707</f>
        <v>1492570.40625</v>
      </c>
      <c r="J709" s="36" t="n">
        <f aca="false">J704*Premissas!$G$77*Premissas!$D$32*J707</f>
        <v>1529884.66640625</v>
      </c>
      <c r="K709" s="36" t="n">
        <f aca="false">K704*Premissas!$G$77*Premissas!$D$32*K707</f>
        <v>1568131.78306641</v>
      </c>
      <c r="L709" s="36" t="n">
        <f aca="false">L704*Premissas!$G$77*Premissas!$D$32*L707</f>
        <v>1607335.07764307</v>
      </c>
      <c r="M709" s="36" t="n">
        <f aca="false">M704*Premissas!$G$77*Premissas!$D$32*M707</f>
        <v>1647518.45458414</v>
      </c>
      <c r="N709" s="36" t="n">
        <f aca="false">N704*Premissas!$G$77*Premissas!$D$32*N707</f>
        <v>1688706.41594875</v>
      </c>
      <c r="O709" s="36" t="n">
        <f aca="false">O704*Premissas!$G$77*Premissas!$D$32*O707</f>
        <v>1730924.07634746</v>
      </c>
      <c r="P709" s="3"/>
    </row>
    <row r="710" customFormat="false" ht="15" hidden="false" customHeight="false" outlineLevel="0" collapsed="false">
      <c r="A710" s="3"/>
      <c r="B710" s="4" t="s">
        <v>406</v>
      </c>
      <c r="C710" s="36" t="n">
        <f aca="false">C706*Premissas!$G$77*Premissas!$D$32*(1-Premissas!$B$12)*C707</f>
        <v>0</v>
      </c>
      <c r="D710" s="36" t="n">
        <f aca="false">D706*Premissas!$G$77*Premissas!$D$32*(1-Premissas!$B$12)*D707</f>
        <v>0</v>
      </c>
      <c r="E710" s="36" t="n">
        <f aca="false">E706*Premissas!$G$77*Premissas!$D$32*(1-Premissas!$B$12)*E707</f>
        <v>0</v>
      </c>
      <c r="F710" s="36" t="n">
        <f aca="false">F706*Premissas!$G$77*Premissas!$D$32*(1-Premissas!$B$12)*F707</f>
        <v>1227187.5</v>
      </c>
      <c r="G710" s="36" t="n">
        <f aca="false">G706*Premissas!$G$77*Premissas!$D$32*(1-Premissas!$B$12)*G707</f>
        <v>1408811.25</v>
      </c>
      <c r="H710" s="36" t="n">
        <f aca="false">H706*Premissas!$G$77*Premissas!$D$32*(1-Premissas!$B$12)*H707</f>
        <v>1444031.53125</v>
      </c>
      <c r="I710" s="36" t="n">
        <f aca="false">I706*Premissas!$G$77*Premissas!$D$32*(1-Premissas!$B$12)*I707</f>
        <v>1480132.31953125</v>
      </c>
      <c r="J710" s="36" t="n">
        <f aca="false">J706*Premissas!$G$77*Premissas!$D$32*(1-Premissas!$B$12)*J707</f>
        <v>1517135.62751953</v>
      </c>
      <c r="K710" s="36" t="n">
        <f aca="false">K706*Premissas!$G$77*Premissas!$D$32*(1-Premissas!$B$12)*K707</f>
        <v>1555064.01820752</v>
      </c>
      <c r="L710" s="36" t="n">
        <f aca="false">L706*Premissas!$G$77*Premissas!$D$32*(1-Premissas!$B$12)*L707</f>
        <v>1593940.61866271</v>
      </c>
      <c r="M710" s="36" t="n">
        <f aca="false">M706*Premissas!$G$77*Premissas!$D$32*(1-Premissas!$B$12)*M707</f>
        <v>1633789.13412927</v>
      </c>
      <c r="N710" s="36" t="n">
        <f aca="false">N706*Premissas!$G$77*Premissas!$D$32*(1-Premissas!$B$12)*N707</f>
        <v>1674633.86248251</v>
      </c>
      <c r="O710" s="36" t="n">
        <f aca="false">O706*Premissas!$G$77*Premissas!$D$32*(1-Premissas!$B$12)*O707</f>
        <v>1716499.70904457</v>
      </c>
      <c r="P710" s="3"/>
    </row>
    <row r="711" customFormat="false" ht="15" hidden="false" customHeight="false" outlineLevel="0" collapsed="false">
      <c r="A711" s="3"/>
      <c r="B711" s="4" t="s">
        <v>407</v>
      </c>
      <c r="C711" s="36" t="n">
        <f aca="false">C705*Premissas!$G$44*Premissas!$D$38*Premissas!$G$78*Premissas!$D$32*(1-Premissas!$B$12)*C707</f>
        <v>0</v>
      </c>
      <c r="D711" s="36" t="n">
        <f aca="false">D705*Premissas!$G$44*Premissas!$D$38*Premissas!$G$78*Premissas!$D$32*(1-Premissas!$B$12)*D707</f>
        <v>0</v>
      </c>
      <c r="E711" s="36" t="n">
        <f aca="false">E705*Premissas!$G$44*Premissas!$D$38*Premissas!$G$78*Premissas!$D$32*(1-Premissas!$B$12)*E707</f>
        <v>0</v>
      </c>
      <c r="F711" s="36" t="n">
        <f aca="false">F705*Premissas!$G$44*Premissas!$D$38*Premissas!$G$78*Premissas!$D$32*(1-Premissas!$B$12)*F707</f>
        <v>411998.4</v>
      </c>
      <c r="G711" s="36" t="n">
        <f aca="false">G705*Premissas!$G$44*Premissas!$D$38*Premissas!$G$78*Premissas!$D$32*(1-Premissas!$B$12)*G707</f>
        <v>422298.36</v>
      </c>
      <c r="H711" s="36" t="n">
        <f aca="false">H705*Premissas!$G$44*Premissas!$D$38*Premissas!$G$78*Premissas!$D$32*(1-Premissas!$B$12)*H707</f>
        <v>432855.819</v>
      </c>
      <c r="I711" s="36" t="n">
        <f aca="false">I705*Premissas!$G$44*Premissas!$D$38*Premissas!$G$78*Premissas!$D$32*(1-Premissas!$B$12)*I707</f>
        <v>443677.214475</v>
      </c>
      <c r="J711" s="36" t="n">
        <f aca="false">J705*Premissas!$G$44*Premissas!$D$38*Premissas!$G$78*Premissas!$D$32*(1-Premissas!$B$12)*J707</f>
        <v>454769.144836875</v>
      </c>
      <c r="K711" s="36" t="n">
        <f aca="false">K705*Premissas!$G$44*Premissas!$D$38*Premissas!$G$78*Premissas!$D$32*(1-Premissas!$B$12)*K707</f>
        <v>466138.373457797</v>
      </c>
      <c r="L711" s="36" t="n">
        <f aca="false">L705*Premissas!$G$44*Premissas!$D$38*Premissas!$G$78*Premissas!$D$32*(1-Premissas!$B$12)*L707</f>
        <v>477791.832794242</v>
      </c>
      <c r="M711" s="36" t="n">
        <f aca="false">M705*Premissas!$G$44*Premissas!$D$38*Premissas!$G$78*Premissas!$D$32*(1-Premissas!$B$12)*M707</f>
        <v>489736.628614098</v>
      </c>
      <c r="N711" s="36" t="n">
        <f aca="false">N705*Premissas!$G$44*Premissas!$D$38*Premissas!$G$78*Premissas!$D$32*(1-Premissas!$B$12)*N707</f>
        <v>501980.04432945</v>
      </c>
      <c r="O711" s="36" t="n">
        <f aca="false">O705*Premissas!$G$44*Premissas!$D$38*Premissas!$G$78*Premissas!$D$32*(1-Premissas!$B$12)*O707</f>
        <v>514529.545437686</v>
      </c>
      <c r="P711" s="3"/>
    </row>
    <row r="712" customFormat="false" ht="15" hidden="false" customHeight="false" outlineLevel="0" collapsed="false">
      <c r="A712" s="3"/>
      <c r="B712" s="4" t="s">
        <v>408</v>
      </c>
      <c r="C712" s="36" t="n">
        <f aca="false">C703*Premissas!$G$44*Premissas!$B$14*Premissas!$B$13*C707</f>
        <v>0</v>
      </c>
      <c r="D712" s="36" t="n">
        <f aca="false">D703*Premissas!$G$44*Premissas!$B$14*Premissas!$B$13*D707</f>
        <v>0</v>
      </c>
      <c r="E712" s="36" t="n">
        <f aca="false">E703*Premissas!$G$44*Premissas!$B$14*Premissas!$B$13*E707</f>
        <v>0</v>
      </c>
      <c r="F712" s="36" t="n">
        <f aca="false">F703*Premissas!$G$44*Premissas!$B$14*Premissas!$B$13*F707</f>
        <v>138510</v>
      </c>
      <c r="G712" s="36" t="n">
        <f aca="false">G703*Premissas!$G$44*Premissas!$B$14*Premissas!$B$13*G707</f>
        <v>149445</v>
      </c>
      <c r="H712" s="36" t="n">
        <f aca="false">H703*Premissas!$G$44*Premissas!$B$14*Premissas!$B$13*H707</f>
        <v>153181.125</v>
      </c>
      <c r="I712" s="36" t="n">
        <f aca="false">I703*Premissas!$G$44*Premissas!$B$14*Premissas!$B$13*I707</f>
        <v>157010.653125</v>
      </c>
      <c r="J712" s="36" t="n">
        <f aca="false">J703*Premissas!$G$44*Premissas!$B$14*Premissas!$B$13*J707</f>
        <v>160935.919453125</v>
      </c>
      <c r="K712" s="36" t="n">
        <f aca="false">K703*Premissas!$G$44*Premissas!$B$14*Premissas!$B$13*K707</f>
        <v>164959.317439453</v>
      </c>
      <c r="L712" s="36" t="n">
        <f aca="false">L703*Premissas!$G$44*Premissas!$B$14*Premissas!$B$13*L707</f>
        <v>169083.300375439</v>
      </c>
      <c r="M712" s="36" t="n">
        <f aca="false">M703*Premissas!$G$44*Premissas!$B$14*Premissas!$B$13*M707</f>
        <v>173310.382884825</v>
      </c>
      <c r="N712" s="36" t="n">
        <f aca="false">N703*Premissas!$G$44*Premissas!$B$14*Premissas!$B$13*N707</f>
        <v>177643.142456946</v>
      </c>
      <c r="O712" s="36" t="n">
        <f aca="false">O703*Premissas!$G$44*Premissas!$B$14*Premissas!$B$13*O707</f>
        <v>182084.22101837</v>
      </c>
      <c r="P712" s="3"/>
    </row>
    <row r="713" customFormat="false" ht="15" hidden="false" customHeight="false" outlineLevel="0" collapsed="false">
      <c r="A713" s="3"/>
      <c r="B713" s="14" t="s">
        <v>409</v>
      </c>
      <c r="C713" s="33" t="n">
        <f aca="false">SUM(C709:C712)</f>
        <v>0</v>
      </c>
      <c r="D713" s="33" t="n">
        <f aca="false">SUM(D709:D712)</f>
        <v>0</v>
      </c>
      <c r="E713" s="33" t="n">
        <f aca="false">SUM(E709:E712)</f>
        <v>0</v>
      </c>
      <c r="F713" s="33" t="n">
        <f aca="false">SUM(F709:F712)</f>
        <v>3163695.9</v>
      </c>
      <c r="G713" s="33" t="n">
        <f aca="false">SUM(G709:G712)</f>
        <v>3401204.61</v>
      </c>
      <c r="H713" s="33" t="n">
        <f aca="false">SUM(H709:H712)</f>
        <v>3486234.72525</v>
      </c>
      <c r="I713" s="33" t="n">
        <f aca="false">SUM(I709:I712)</f>
        <v>3573390.59338125</v>
      </c>
      <c r="J713" s="33" t="n">
        <f aca="false">SUM(J709:J712)</f>
        <v>3662725.35821578</v>
      </c>
      <c r="K713" s="33" t="n">
        <f aca="false">SUM(K709:K712)</f>
        <v>3754293.49217117</v>
      </c>
      <c r="L713" s="33" t="n">
        <f aca="false">SUM(L709:L712)</f>
        <v>3848150.82947545</v>
      </c>
      <c r="M713" s="33" t="n">
        <f aca="false">SUM(M709:M712)</f>
        <v>3944354.60021234</v>
      </c>
      <c r="N713" s="33" t="n">
        <f aca="false">SUM(N709:N712)</f>
        <v>4042963.46521765</v>
      </c>
      <c r="O713" s="33" t="n">
        <f aca="false">SUM(O709:O712)</f>
        <v>4144037.55184809</v>
      </c>
      <c r="P713" s="3"/>
    </row>
    <row r="714" customFormat="false" ht="15" hidden="false" customHeight="false" outlineLevel="0" collapsed="false">
      <c r="A714" s="3"/>
      <c r="B714" s="4" t="s">
        <v>410</v>
      </c>
      <c r="C714" s="36" t="n">
        <f aca="false">-C703*(Premissas!$G$70*Premissas!$D$34/Premissas!$B$6+Premissas!$G$75)*Premissas!$D$33*C708</f>
        <v>-0</v>
      </c>
      <c r="D714" s="36" t="n">
        <f aca="false">-D703*(Premissas!$G$70*Premissas!$D$34/Premissas!$B$6+Premissas!$G$75)*Premissas!$D$33*D708</f>
        <v>-0</v>
      </c>
      <c r="E714" s="36" t="n">
        <f aca="false">-E703*(Premissas!$G$70*Premissas!$D$34/Premissas!$B$6+Premissas!$G$75)*Premissas!$D$33*E708</f>
        <v>-0</v>
      </c>
      <c r="F714" s="36" t="n">
        <f aca="false">-F703*(Premissas!$G$70*Premissas!$D$34/Premissas!$B$6+Premissas!$G$75)*Premissas!$D$33*F708</f>
        <v>-730499.980434783</v>
      </c>
      <c r="G714" s="36" t="n">
        <f aca="false">-G703*(Premissas!$G$70*Premissas!$D$34/Premissas!$B$6+Premissas!$G$75)*Premissas!$D$33*G708</f>
        <v>-792015.76826087</v>
      </c>
      <c r="H714" s="36" t="n">
        <f aca="false">-H703*(Premissas!$G$70*Premissas!$D$34/Premissas!$B$6+Premissas!$G$75)*Premissas!$D$33*H708</f>
        <v>-815776.241308696</v>
      </c>
      <c r="I714" s="36" t="n">
        <f aca="false">-I703*(Premissas!$G$70*Premissas!$D$34/Premissas!$B$6+Premissas!$G$75)*Premissas!$D$33*I708</f>
        <v>-840249.528547957</v>
      </c>
      <c r="J714" s="36" t="n">
        <f aca="false">-J703*(Premissas!$G$70*Premissas!$D$34/Premissas!$B$6+Premissas!$G$75)*Premissas!$D$33*J708</f>
        <v>-865457.014404395</v>
      </c>
      <c r="K714" s="36" t="n">
        <f aca="false">-K703*(Premissas!$G$70*Premissas!$D$34/Premissas!$B$6+Premissas!$G$75)*Premissas!$D$33*K708</f>
        <v>-891420.724836527</v>
      </c>
      <c r="L714" s="36" t="n">
        <f aca="false">-L703*(Premissas!$G$70*Premissas!$D$34/Premissas!$B$6+Premissas!$G$75)*Premissas!$D$33*L708</f>
        <v>-918163.346581623</v>
      </c>
      <c r="M714" s="36" t="n">
        <f aca="false">-M703*(Premissas!$G$70*Premissas!$D$34/Premissas!$B$6+Premissas!$G$75)*Premissas!$D$33*M708</f>
        <v>-945708.246979072</v>
      </c>
      <c r="N714" s="36" t="n">
        <f aca="false">-N703*(Premissas!$G$70*Premissas!$D$34/Premissas!$B$6+Premissas!$G$75)*Premissas!$D$33*N708</f>
        <v>-974079.494388444</v>
      </c>
      <c r="O714" s="36" t="n">
        <f aca="false">-O703*(Premissas!$G$70*Premissas!$D$34/Premissas!$B$6+Premissas!$G$75)*Premissas!$D$33*O708</f>
        <v>-1003301.8792201</v>
      </c>
      <c r="P714" s="3"/>
    </row>
    <row r="715" customFormat="false" ht="15" hidden="false" customHeight="false" outlineLevel="0" collapsed="false">
      <c r="A715" s="3"/>
      <c r="B715" s="4" t="s">
        <v>411</v>
      </c>
      <c r="C715" s="36" t="n">
        <f aca="false">-IF(C$702&gt;=1,Premissas!$G$68*Premissas!$D$33*C708,0)</f>
        <v>-0</v>
      </c>
      <c r="D715" s="36" t="n">
        <f aca="false">-IF(D$702&gt;=1,Premissas!$G$68*Premissas!$D$33*D708,0)</f>
        <v>-0</v>
      </c>
      <c r="E715" s="36" t="n">
        <f aca="false">-IF(E$702&gt;=1,Premissas!$G$68*Premissas!$D$33*E708,0)</f>
        <v>-0</v>
      </c>
      <c r="F715" s="36" t="n">
        <f aca="false">-IF(F$702&gt;=1,Premissas!$G$68*Premissas!$D$33*F708,0)</f>
        <v>-1983147.8</v>
      </c>
      <c r="G715" s="36" t="n">
        <f aca="false">-IF(G$702&gt;=1,Premissas!$G$68*Premissas!$D$33*G708,0)</f>
        <v>-2042642.234</v>
      </c>
      <c r="H715" s="36" t="n">
        <f aca="false">-IF(H$702&gt;=1,Premissas!$G$68*Premissas!$D$33*H708,0)</f>
        <v>-2103921.50102</v>
      </c>
      <c r="I715" s="36" t="n">
        <f aca="false">-IF(I$702&gt;=1,Premissas!$G$68*Premissas!$D$33*I708,0)</f>
        <v>-2167039.1460506</v>
      </c>
      <c r="J715" s="36" t="n">
        <f aca="false">-IF(J$702&gt;=1,Premissas!$G$68*Premissas!$D$33*J708,0)</f>
        <v>-2232050.32043212</v>
      </c>
      <c r="K715" s="36" t="n">
        <f aca="false">-IF(K$702&gt;=1,Premissas!$G$68*Premissas!$D$33*K708,0)</f>
        <v>-2299011.83004508</v>
      </c>
      <c r="L715" s="36" t="n">
        <f aca="false">-IF(L$702&gt;=1,Premissas!$G$68*Premissas!$D$33*L708,0)</f>
        <v>-2367982.18494643</v>
      </c>
      <c r="M715" s="36" t="n">
        <f aca="false">-IF(M$702&gt;=1,Premissas!$G$68*Premissas!$D$33*M708,0)</f>
        <v>-2439021.65049483</v>
      </c>
      <c r="N715" s="36" t="n">
        <f aca="false">-IF(N$702&gt;=1,Premissas!$G$68*Premissas!$D$33*N708,0)</f>
        <v>-2512192.30000967</v>
      </c>
      <c r="O715" s="36" t="n">
        <f aca="false">-IF(O$702&gt;=1,Premissas!$G$68*Premissas!$D$33*O708,0)</f>
        <v>-2587558.06900996</v>
      </c>
      <c r="P715" s="3"/>
    </row>
    <row r="716" customFormat="false" ht="15" hidden="false" customHeight="false" outlineLevel="0" collapsed="false">
      <c r="A716" s="3"/>
      <c r="B716" s="14" t="s">
        <v>412</v>
      </c>
      <c r="C716" s="33" t="n">
        <f aca="false">C713+C714+C715</f>
        <v>0</v>
      </c>
      <c r="D716" s="33" t="n">
        <f aca="false">D713+D714+D715</f>
        <v>0</v>
      </c>
      <c r="E716" s="33" t="n">
        <f aca="false">E713+E714+E715</f>
        <v>0</v>
      </c>
      <c r="F716" s="33" t="n">
        <f aca="false">F713+F714+F715</f>
        <v>450048.119565218</v>
      </c>
      <c r="G716" s="33" t="n">
        <f aca="false">G713+G714+G715</f>
        <v>566546.60773913</v>
      </c>
      <c r="H716" s="33" t="n">
        <f aca="false">H713+H714+H715</f>
        <v>566536.982921305</v>
      </c>
      <c r="I716" s="33" t="n">
        <f aca="false">I713+I714+I715</f>
        <v>566101.918782693</v>
      </c>
      <c r="J716" s="33" t="n">
        <f aca="false">J713+J714+J715</f>
        <v>565218.023379266</v>
      </c>
      <c r="K716" s="33" t="n">
        <f aca="false">K713+K714+K715</f>
        <v>563860.937289565</v>
      </c>
      <c r="L716" s="33" t="n">
        <f aca="false">L713+L714+L715</f>
        <v>562005.297947396</v>
      </c>
      <c r="M716" s="33" t="n">
        <f aca="false">M713+M714+M715</f>
        <v>559624.702738441</v>
      </c>
      <c r="N716" s="33" t="n">
        <f aca="false">N713+N714+N715</f>
        <v>556691.670819531</v>
      </c>
      <c r="O716" s="33" t="n">
        <f aca="false">O713+O714+O715</f>
        <v>553177.603618029</v>
      </c>
      <c r="P716" s="3"/>
    </row>
    <row r="717" customFormat="false" ht="15" hidden="false" customHeight="false" outlineLevel="0" collapsed="false">
      <c r="A717" s="3"/>
      <c r="B717" s="4" t="s">
        <v>413</v>
      </c>
      <c r="C717" s="42" t="n">
        <f aca="false">IF(C713=0,0,C716/C713)</f>
        <v>0</v>
      </c>
      <c r="D717" s="42" t="n">
        <f aca="false">IF(D713=0,0,D716/D713)</f>
        <v>0</v>
      </c>
      <c r="E717" s="42" t="n">
        <f aca="false">IF(E713=0,0,E716/E713)</f>
        <v>0</v>
      </c>
      <c r="F717" s="42" t="n">
        <f aca="false">IF(F713=0,0,F716/F713)</f>
        <v>0.142253912446268</v>
      </c>
      <c r="G717" s="42" t="n">
        <f aca="false">IF(G713=0,0,G716/G713)</f>
        <v>0.166572339127557</v>
      </c>
      <c r="H717" s="42" t="n">
        <f aca="false">IF(H713=0,0,H716/H713)</f>
        <v>0.162506838342814</v>
      </c>
      <c r="I717" s="42" t="n">
        <f aca="false">IF(I713=0,0,I716/I713)</f>
        <v>0.158421505846925</v>
      </c>
      <c r="J717" s="42" t="n">
        <f aca="false">IF(J713=0,0,J716/J713)</f>
        <v>0.154316244899836</v>
      </c>
      <c r="K717" s="42" t="n">
        <f aca="false">IF(K713=0,0,K716/K713)</f>
        <v>0.150190958289591</v>
      </c>
      <c r="L717" s="42" t="n">
        <f aca="false">IF(L713=0,0,L716/L713)</f>
        <v>0.146045548330028</v>
      </c>
      <c r="M717" s="42" t="n">
        <f aca="false">IF(M713=0,0,M716/M713)</f>
        <v>0.141879916858468</v>
      </c>
      <c r="N717" s="42" t="n">
        <f aca="false">IF(N713=0,0,N716/N713)</f>
        <v>0.137693965233387</v>
      </c>
      <c r="O717" s="42" t="n">
        <f aca="false">IF(O713=0,0,O716/O713)</f>
        <v>0.133487594332086</v>
      </c>
      <c r="P717" s="3"/>
    </row>
    <row r="718" customFormat="false" ht="15" hidden="false" customHeight="false" outlineLevel="0" collapsed="false">
      <c r="A718" s="3"/>
      <c r="B718" s="4" t="s">
        <v>414</v>
      </c>
      <c r="C718" s="36" t="n">
        <f aca="false">-IF(C$702&gt;=1,Premissas!$G$52*(1-Premissas!$D$36)/10,0)</f>
        <v>-0</v>
      </c>
      <c r="D718" s="36" t="n">
        <f aca="false">-IF(D$702&gt;=1,Premissas!$G$52*(1-Premissas!$D$36)/10,0)</f>
        <v>-0</v>
      </c>
      <c r="E718" s="36" t="n">
        <f aca="false">-IF(E$702&gt;=1,Premissas!$G$52*(1-Premissas!$D$36)/10,0)</f>
        <v>-0</v>
      </c>
      <c r="F718" s="36" t="n">
        <f aca="false">-IF(F$702&gt;=1,Premissas!$G$52*(1-Premissas!$D$36)/10,0)</f>
        <v>-400000</v>
      </c>
      <c r="G718" s="36" t="n">
        <f aca="false">-IF(G$702&gt;=1,Premissas!$G$52*(1-Premissas!$D$36)/10,0)</f>
        <v>-400000</v>
      </c>
      <c r="H718" s="36" t="n">
        <f aca="false">-IF(H$702&gt;=1,Premissas!$G$52*(1-Premissas!$D$36)/10,0)</f>
        <v>-400000</v>
      </c>
      <c r="I718" s="36" t="n">
        <f aca="false">-IF(I$702&gt;=1,Premissas!$G$52*(1-Premissas!$D$36)/10,0)</f>
        <v>-400000</v>
      </c>
      <c r="J718" s="36" t="n">
        <f aca="false">-IF(J$702&gt;=1,Premissas!$G$52*(1-Premissas!$D$36)/10,0)</f>
        <v>-400000</v>
      </c>
      <c r="K718" s="36" t="n">
        <f aca="false">-IF(K$702&gt;=1,Premissas!$G$52*(1-Premissas!$D$36)/10,0)</f>
        <v>-400000</v>
      </c>
      <c r="L718" s="36" t="n">
        <f aca="false">-IF(L$702&gt;=1,Premissas!$G$52*(1-Premissas!$D$36)/10,0)</f>
        <v>-400000</v>
      </c>
      <c r="M718" s="36" t="n">
        <f aca="false">-IF(M$702&gt;=1,Premissas!$G$52*(1-Premissas!$D$36)/10,0)</f>
        <v>-400000</v>
      </c>
      <c r="N718" s="36" t="n">
        <f aca="false">-IF(N$702&gt;=1,Premissas!$G$52*(1-Premissas!$D$36)/10,0)</f>
        <v>-400000</v>
      </c>
      <c r="O718" s="36" t="n">
        <f aca="false">-IF(O$702&gt;=1,Premissas!$G$52*(1-Premissas!$D$36)/10,0)</f>
        <v>-400000</v>
      </c>
      <c r="P718" s="3"/>
    </row>
    <row r="719" customFormat="false" ht="15" hidden="false" customHeight="false" outlineLevel="0" collapsed="false">
      <c r="A719" s="3"/>
      <c r="B719" s="14" t="s">
        <v>415</v>
      </c>
      <c r="C719" s="40" t="n">
        <f aca="false">C716+C718</f>
        <v>0</v>
      </c>
      <c r="D719" s="40" t="n">
        <f aca="false">D716+D718</f>
        <v>0</v>
      </c>
      <c r="E719" s="40" t="n">
        <f aca="false">E716+E718</f>
        <v>0</v>
      </c>
      <c r="F719" s="40" t="n">
        <f aca="false">F716+F718</f>
        <v>50048.1195652178</v>
      </c>
      <c r="G719" s="40" t="n">
        <f aca="false">G716+G718</f>
        <v>166546.60773913</v>
      </c>
      <c r="H719" s="40" t="n">
        <f aca="false">H716+H718</f>
        <v>166536.982921305</v>
      </c>
      <c r="I719" s="40" t="n">
        <f aca="false">I716+I718</f>
        <v>166101.918782693</v>
      </c>
      <c r="J719" s="40" t="n">
        <f aca="false">J716+J718</f>
        <v>165218.023379266</v>
      </c>
      <c r="K719" s="40" t="n">
        <f aca="false">K716+K718</f>
        <v>163860.937289565</v>
      </c>
      <c r="L719" s="40" t="n">
        <f aca="false">L716+L718</f>
        <v>162005.297947396</v>
      </c>
      <c r="M719" s="40" t="n">
        <f aca="false">M716+M718</f>
        <v>159624.702738441</v>
      </c>
      <c r="N719" s="40" t="n">
        <f aca="false">N716+N718</f>
        <v>156691.670819531</v>
      </c>
      <c r="O719" s="40" t="n">
        <f aca="false">O716+O718</f>
        <v>153177.603618029</v>
      </c>
      <c r="P719" s="3"/>
    </row>
    <row r="720" customFormat="false" ht="15" hidden="false" customHeight="false" outlineLevel="0" collapsed="false">
      <c r="A720" s="3"/>
      <c r="B720" s="4" t="s">
        <v>416</v>
      </c>
      <c r="C720" s="36" t="n">
        <f aca="false">-MAX(0,C719)*Premissas!$B$11</f>
        <v>-0</v>
      </c>
      <c r="D720" s="36" t="n">
        <f aca="false">-MAX(0,D719)*Premissas!$B$11</f>
        <v>-0</v>
      </c>
      <c r="E720" s="36" t="n">
        <f aca="false">-MAX(0,E719)*Premissas!$B$11</f>
        <v>-0</v>
      </c>
      <c r="F720" s="36" t="n">
        <f aca="false">-MAX(0,F719)*Premissas!$B$11</f>
        <v>-17016.360652174</v>
      </c>
      <c r="G720" s="36" t="n">
        <f aca="false">-MAX(0,G719)*Premissas!$B$11</f>
        <v>-56625.8466313043</v>
      </c>
      <c r="H720" s="36" t="n">
        <f aca="false">-MAX(0,H719)*Premissas!$B$11</f>
        <v>-56622.5741932436</v>
      </c>
      <c r="I720" s="36" t="n">
        <f aca="false">-MAX(0,I719)*Premissas!$B$11</f>
        <v>-56474.6523861156</v>
      </c>
      <c r="J720" s="36" t="n">
        <f aca="false">-MAX(0,J719)*Premissas!$B$11</f>
        <v>-56174.1279489505</v>
      </c>
      <c r="K720" s="36" t="n">
        <f aca="false">-MAX(0,K719)*Premissas!$B$11</f>
        <v>-55712.7186784522</v>
      </c>
      <c r="L720" s="36" t="n">
        <f aca="false">-MAX(0,L719)*Premissas!$B$11</f>
        <v>-55081.8013021147</v>
      </c>
      <c r="M720" s="36" t="n">
        <f aca="false">-MAX(0,M719)*Premissas!$B$11</f>
        <v>-54272.3989310698</v>
      </c>
      <c r="N720" s="36" t="n">
        <f aca="false">-MAX(0,N719)*Premissas!$B$11</f>
        <v>-53275.1680786406</v>
      </c>
      <c r="O720" s="36" t="n">
        <f aca="false">-MAX(0,O719)*Premissas!$B$11</f>
        <v>-52080.3852301297</v>
      </c>
      <c r="P720" s="3"/>
    </row>
    <row r="721" customFormat="false" ht="15" hidden="false" customHeight="false" outlineLevel="0" collapsed="false">
      <c r="A721" s="3"/>
      <c r="B721" s="4" t="s">
        <v>417</v>
      </c>
      <c r="C721" s="36" t="n">
        <f aca="false">-(IF(C$702=3,Premissas!$G$80,0)+IF(C$702=5,Premissas!$G$81,0)+IF(C$702=8,Premissas!$G$82,0)+IF(C$702=10,Premissas!$G$83,0))*C708</f>
        <v>-0</v>
      </c>
      <c r="D721" s="36" t="n">
        <f aca="false">-(IF(D$702=3,Premissas!$G$80,0)+IF(D$702=5,Premissas!$G$81,0)+IF(D$702=8,Premissas!$G$82,0)+IF(D$702=10,Premissas!$G$83,0))*D708</f>
        <v>-0</v>
      </c>
      <c r="E721" s="36" t="n">
        <f aca="false">-(IF(E$702=3,Premissas!$G$80,0)+IF(E$702=5,Premissas!$G$81,0)+IF(E$702=8,Premissas!$G$82,0)+IF(E$702=10,Premissas!$G$83,0))*E708</f>
        <v>-0</v>
      </c>
      <c r="F721" s="36" t="n">
        <f aca="false">-(IF(F$702=3,Premissas!$G$80,0)+IF(F$702=5,Premissas!$G$81,0)+IF(F$702=8,Premissas!$G$82,0)+IF(F$702=10,Premissas!$G$83,0))*F708</f>
        <v>-0</v>
      </c>
      <c r="G721" s="36" t="n">
        <f aca="false">-(IF(G$702=3,Premissas!$G$80,0)+IF(G$702=5,Premissas!$G$81,0)+IF(G$702=8,Premissas!$G$82,0)+IF(G$702=10,Premissas!$G$83,0))*G708</f>
        <v>-0</v>
      </c>
      <c r="H721" s="36" t="n">
        <f aca="false">-(IF(H$702=3,Premissas!$G$80,0)+IF(H$702=5,Premissas!$G$81,0)+IF(H$702=8,Premissas!$G$82,0)+IF(H$702=10,Premissas!$G$83,0))*H708</f>
        <v>-265225</v>
      </c>
      <c r="I721" s="36" t="n">
        <f aca="false">-(IF(I$702=3,Premissas!$G$80,0)+IF(I$702=5,Premissas!$G$81,0)+IF(I$702=8,Premissas!$G$82,0)+IF(I$702=10,Premissas!$G$83,0))*I708</f>
        <v>-0</v>
      </c>
      <c r="J721" s="36" t="n">
        <f aca="false">-(IF(J$702=3,Premissas!$G$80,0)+IF(J$702=5,Premissas!$G$81,0)+IF(J$702=8,Premissas!$G$82,0)+IF(J$702=10,Premissas!$G$83,0))*J708</f>
        <v>-619029.8455</v>
      </c>
      <c r="K721" s="36" t="n">
        <f aca="false">-(IF(K$702=3,Premissas!$G$80,0)+IF(K$702=5,Premissas!$G$81,0)+IF(K$702=8,Premissas!$G$82,0)+IF(K$702=10,Premissas!$G$83,0))*K708</f>
        <v>-0</v>
      </c>
      <c r="L721" s="36" t="n">
        <f aca="false">-(IF(L$702=3,Premissas!$G$80,0)+IF(L$702=5,Premissas!$G$81,0)+IF(L$702=8,Premissas!$G$82,0)+IF(L$702=10,Premissas!$G$83,0))*L708</f>
        <v>-0</v>
      </c>
      <c r="M721" s="36" t="n">
        <f aca="false">-(IF(M$702=3,Premissas!$G$80,0)+IF(M$702=5,Premissas!$G$81,0)+IF(M$702=8,Premissas!$G$82,0)+IF(M$702=10,Premissas!$G$83,0))*M708</f>
        <v>-368962.159627461</v>
      </c>
      <c r="N721" s="36" t="n">
        <f aca="false">-(IF(N$702=3,Premissas!$G$80,0)+IF(N$702=5,Premissas!$G$81,0)+IF(N$702=8,Premissas!$G$82,0)+IF(N$702=10,Premissas!$G$83,0))*N708</f>
        <v>-0</v>
      </c>
      <c r="O721" s="36" t="n">
        <f aca="false">-(IF(O$702=3,Premissas!$G$80,0)+IF(O$702=5,Premissas!$G$81,0)+IF(O$702=8,Premissas!$G$82,0)+IF(O$702=10,Premissas!$G$83,0))*O708</f>
        <v>-782863.910297547</v>
      </c>
      <c r="P721" s="3"/>
    </row>
    <row r="722" customFormat="false" ht="15" hidden="false" customHeight="false" outlineLevel="0" collapsed="false">
      <c r="A722" s="3"/>
      <c r="B722" s="4" t="s">
        <v>418</v>
      </c>
      <c r="C722" s="36" t="n">
        <f aca="false">-IF(C$702&gt;=1,Premissas!$G$52*(Premissas!$G$84+IF(C$702=6,Premissas!$G$85,0))*C708,0)</f>
        <v>-0</v>
      </c>
      <c r="D722" s="36" t="n">
        <f aca="false">-IF(D$702&gt;=1,Premissas!$G$52*(Premissas!$G$84+IF(D$702=6,Premissas!$G$85,0))*D708,0)</f>
        <v>-0</v>
      </c>
      <c r="E722" s="36" t="n">
        <f aca="false">-IF(E$702&gt;=1,Premissas!$G$52*(Premissas!$G$84+IF(E$702=6,Premissas!$G$85,0))*E708,0)</f>
        <v>-0</v>
      </c>
      <c r="F722" s="36" t="n">
        <f aca="false">-IF(F$702&gt;=1,Premissas!$G$52*(Premissas!$G$84+IF(F$702=6,Premissas!$G$85,0))*F708,0)</f>
        <v>-100000</v>
      </c>
      <c r="G722" s="36" t="n">
        <f aca="false">-IF(G$702&gt;=1,Premissas!$G$52*(Premissas!$G$84+IF(G$702=6,Premissas!$G$85,0))*G708,0)</f>
        <v>-103000</v>
      </c>
      <c r="H722" s="36" t="n">
        <f aca="false">-IF(H$702&gt;=1,Premissas!$G$52*(Premissas!$G$84+IF(H$702=6,Premissas!$G$85,0))*H708,0)</f>
        <v>-106090</v>
      </c>
      <c r="I722" s="36" t="n">
        <f aca="false">-IF(I$702&gt;=1,Premissas!$G$52*(Premissas!$G$84+IF(I$702=6,Premissas!$G$85,0))*I708,0)</f>
        <v>-109272.7</v>
      </c>
      <c r="J722" s="36" t="n">
        <f aca="false">-IF(J$702&gt;=1,Premissas!$G$52*(Premissas!$G$84+IF(J$702=6,Premissas!$G$85,0))*J708,0)</f>
        <v>-112550.881</v>
      </c>
      <c r="K722" s="36" t="n">
        <f aca="false">-IF(K$702&gt;=1,Premissas!$G$52*(Premissas!$G$84+IF(K$702=6,Premissas!$G$85,0))*K708,0)</f>
        <v>-579637.03715</v>
      </c>
      <c r="L722" s="36" t="n">
        <f aca="false">-IF(L$702&gt;=1,Premissas!$G$52*(Premissas!$G$84+IF(L$702=6,Premissas!$G$85,0))*L708,0)</f>
        <v>-119405.2296529</v>
      </c>
      <c r="M722" s="36" t="n">
        <f aca="false">-IF(M$702&gt;=1,Premissas!$G$52*(Premissas!$G$84+IF(M$702=6,Premissas!$G$85,0))*M708,0)</f>
        <v>-122987.386542487</v>
      </c>
      <c r="N722" s="36" t="n">
        <f aca="false">-IF(N$702&gt;=1,Premissas!$G$52*(Premissas!$G$84+IF(N$702=6,Premissas!$G$85,0))*N708,0)</f>
        <v>-126677.008138762</v>
      </c>
      <c r="O722" s="36" t="n">
        <f aca="false">-IF(O$702&gt;=1,Premissas!$G$52*(Premissas!$G$84+IF(O$702=6,Premissas!$G$85,0))*O708,0)</f>
        <v>-130477.318382925</v>
      </c>
      <c r="P722" s="3"/>
    </row>
    <row r="723" customFormat="false" ht="15" hidden="false" customHeight="false" outlineLevel="0" collapsed="false">
      <c r="A723" s="3"/>
      <c r="B723" s="4" t="s">
        <v>419</v>
      </c>
      <c r="C723" s="36" t="n">
        <f aca="false">-Premissas!$G$52*Premissas!$G$53</f>
        <v>-0</v>
      </c>
      <c r="D723" s="36" t="n">
        <f aca="false">-Premissas!$G$52*Premissas!$G$54</f>
        <v>-0</v>
      </c>
      <c r="E723" s="36" t="n">
        <f aca="false">-Premissas!$G$52*Premissas!$G$55</f>
        <v>-10000000</v>
      </c>
      <c r="F723" s="36" t="n">
        <v>0</v>
      </c>
      <c r="G723" s="36" t="n">
        <v>0</v>
      </c>
      <c r="H723" s="36" t="n">
        <v>0</v>
      </c>
      <c r="I723" s="36" t="n">
        <v>0</v>
      </c>
      <c r="J723" s="36" t="n">
        <v>0</v>
      </c>
      <c r="K723" s="36" t="n">
        <v>0</v>
      </c>
      <c r="L723" s="36" t="n">
        <v>0</v>
      </c>
      <c r="M723" s="36" t="n">
        <v>0</v>
      </c>
      <c r="N723" s="36" t="n">
        <v>0</v>
      </c>
      <c r="O723" s="36" t="n">
        <v>0</v>
      </c>
      <c r="P723" s="3"/>
    </row>
    <row r="724" customFormat="false" ht="15" hidden="false" customHeight="false" outlineLevel="0" collapsed="false">
      <c r="A724" s="3"/>
      <c r="B724" s="4" t="s">
        <v>420</v>
      </c>
      <c r="C724" s="36" t="n">
        <f aca="false">IF(C$702=10,Premissas!$G$52*Premissas!$D$36,0)</f>
        <v>0</v>
      </c>
      <c r="D724" s="36" t="n">
        <f aca="false">IF(D$702=10,Premissas!$G$52*Premissas!$D$36,0)</f>
        <v>0</v>
      </c>
      <c r="E724" s="36" t="n">
        <f aca="false">IF(E$702=10,Premissas!$G$52*Premissas!$D$36,0)</f>
        <v>0</v>
      </c>
      <c r="F724" s="36" t="n">
        <f aca="false">IF(F$702=10,Premissas!$G$52*Premissas!$D$36,0)</f>
        <v>0</v>
      </c>
      <c r="G724" s="36" t="n">
        <f aca="false">IF(G$702=10,Premissas!$G$52*Premissas!$D$36,0)</f>
        <v>0</v>
      </c>
      <c r="H724" s="36" t="n">
        <f aca="false">IF(H$702=10,Premissas!$G$52*Premissas!$D$36,0)</f>
        <v>0</v>
      </c>
      <c r="I724" s="36" t="n">
        <f aca="false">IF(I$702=10,Premissas!$G$52*Premissas!$D$36,0)</f>
        <v>0</v>
      </c>
      <c r="J724" s="36" t="n">
        <f aca="false">IF(J$702=10,Premissas!$G$52*Premissas!$D$36,0)</f>
        <v>0</v>
      </c>
      <c r="K724" s="36" t="n">
        <f aca="false">IF(K$702=10,Premissas!$G$52*Premissas!$D$36,0)</f>
        <v>0</v>
      </c>
      <c r="L724" s="36" t="n">
        <f aca="false">IF(L$702=10,Premissas!$G$52*Premissas!$D$36,0)</f>
        <v>0</v>
      </c>
      <c r="M724" s="36" t="n">
        <f aca="false">IF(M$702=10,Premissas!$G$52*Premissas!$D$36,0)</f>
        <v>0</v>
      </c>
      <c r="N724" s="36" t="n">
        <f aca="false">IF(N$702=10,Premissas!$G$52*Premissas!$D$36,0)</f>
        <v>0</v>
      </c>
      <c r="O724" s="36" t="n">
        <f aca="false">IF(O$702=10,Premissas!$G$52*Premissas!$D$36,0)</f>
        <v>6000000</v>
      </c>
      <c r="P724" s="3"/>
    </row>
    <row r="725" customFormat="false" ht="15" hidden="false" customHeight="false" outlineLevel="0" collapsed="false">
      <c r="A725" s="3"/>
      <c r="B725" s="14" t="s">
        <v>421</v>
      </c>
      <c r="C725" s="33" t="n">
        <f aca="false">C716+C720+C721+C722+C723+C724</f>
        <v>0</v>
      </c>
      <c r="D725" s="33" t="n">
        <f aca="false">D716+D720+D721+D722+D723+D724</f>
        <v>0</v>
      </c>
      <c r="E725" s="33" t="n">
        <f aca="false">E716+E720+E721+E722+E723+E724</f>
        <v>-10000000</v>
      </c>
      <c r="F725" s="33" t="n">
        <f aca="false">F716+F720+F721+F722+F723+F724</f>
        <v>333031.758913044</v>
      </c>
      <c r="G725" s="33" t="n">
        <f aca="false">G716+G720+G721+G722+G723+G724</f>
        <v>406920.761107826</v>
      </c>
      <c r="H725" s="33" t="n">
        <f aca="false">H716+H720+H721+H722+H723+H724</f>
        <v>138599.408728061</v>
      </c>
      <c r="I725" s="33" t="n">
        <f aca="false">I716+I720+I721+I722+I723+I724</f>
        <v>400354.566396577</v>
      </c>
      <c r="J725" s="33" t="n">
        <f aca="false">J716+J720+J721+J722+J723+J724</f>
        <v>-222536.831069684</v>
      </c>
      <c r="K725" s="33" t="n">
        <f aca="false">K716+K720+K721+K722+K723+K724</f>
        <v>-71488.8185388868</v>
      </c>
      <c r="L725" s="33" t="n">
        <f aca="false">L716+L720+L721+L722+L723+L724</f>
        <v>387518.266992381</v>
      </c>
      <c r="M725" s="33" t="n">
        <f aca="false">M716+M720+M721+M722+M723+M724</f>
        <v>13402.7576374227</v>
      </c>
      <c r="N725" s="33" t="n">
        <f aca="false">N716+N720+N721+N722+N723+N724</f>
        <v>376739.494602129</v>
      </c>
      <c r="O725" s="33" t="n">
        <f aca="false">O716+O720+O721+O722+O723+O724</f>
        <v>5587755.98970743</v>
      </c>
      <c r="P725" s="3"/>
    </row>
    <row r="726" customFormat="false" ht="15" hidden="false" customHeight="false" outlineLevel="0" collapsed="false">
      <c r="A726" s="3"/>
      <c r="B726" s="4" t="s">
        <v>422</v>
      </c>
      <c r="C726" s="36" t="n">
        <f aca="false">C725-C724</f>
        <v>0</v>
      </c>
      <c r="D726" s="36" t="n">
        <f aca="false">C726+D725-D724</f>
        <v>0</v>
      </c>
      <c r="E726" s="36" t="n">
        <f aca="false">D726+E725-E724</f>
        <v>-10000000</v>
      </c>
      <c r="F726" s="36" t="n">
        <f aca="false">E726+F725-F724</f>
        <v>-9666968.24108696</v>
      </c>
      <c r="G726" s="36" t="n">
        <f aca="false">F726+G725-G724</f>
        <v>-9260047.47997913</v>
      </c>
      <c r="H726" s="36" t="n">
        <f aca="false">G726+H725-H724</f>
        <v>-9121448.07125107</v>
      </c>
      <c r="I726" s="36" t="n">
        <f aca="false">H726+I725-I724</f>
        <v>-8721093.50485449</v>
      </c>
      <c r="J726" s="36" t="n">
        <f aca="false">I726+J725-J724</f>
        <v>-8943630.33592418</v>
      </c>
      <c r="K726" s="36" t="n">
        <f aca="false">J726+K725-K724</f>
        <v>-9015119.15446306</v>
      </c>
      <c r="L726" s="36" t="n">
        <f aca="false">K726+L725-L724</f>
        <v>-8627600.88747068</v>
      </c>
      <c r="M726" s="36" t="n">
        <f aca="false">L726+M725-M724</f>
        <v>-8614198.12983326</v>
      </c>
      <c r="N726" s="36" t="n">
        <f aca="false">M726+N725-N724</f>
        <v>-8237458.63523113</v>
      </c>
      <c r="O726" s="36" t="n">
        <f aca="false">N726+O725-O724</f>
        <v>-8649702.6455237</v>
      </c>
      <c r="P726" s="3"/>
    </row>
    <row r="727" customFormat="false" ht="15" hidden="false" customHeight="false" outlineLevel="0" collapsed="false">
      <c r="A727" s="3"/>
      <c r="B727" s="6" t="s">
        <v>423</v>
      </c>
      <c r="C727" s="46" t="n">
        <v>0</v>
      </c>
      <c r="D727" s="46" t="n">
        <v>0</v>
      </c>
      <c r="E727" s="46" t="n">
        <v>0</v>
      </c>
      <c r="F727" s="46" t="n">
        <f aca="false">IF(AND(E726&lt;0,F726&gt;=0),F$702-1+(-E726)/(F725-F724),0)</f>
        <v>0</v>
      </c>
      <c r="G727" s="46" t="n">
        <f aca="false">IF(AND(F726&lt;0,G726&gt;=0),G$702-1+(-F726)/(G725-G724),0)</f>
        <v>0</v>
      </c>
      <c r="H727" s="46" t="n">
        <f aca="false">IF(AND(G726&lt;0,H726&gt;=0),H$702-1+(-G726)/(H725-H724),0)</f>
        <v>0</v>
      </c>
      <c r="I727" s="46" t="n">
        <f aca="false">IF(AND(H726&lt;0,I726&gt;=0),I$702-1+(-H726)/(I725-I724),0)</f>
        <v>0</v>
      </c>
      <c r="J727" s="46" t="n">
        <f aca="false">IF(AND(I726&lt;0,J726&gt;=0),J$702-1+(-I726)/(J725-J724),0)</f>
        <v>0</v>
      </c>
      <c r="K727" s="46" t="n">
        <f aca="false">IF(AND(J726&lt;0,K726&gt;=0),K$702-1+(-J726)/(K725-K724),0)</f>
        <v>0</v>
      </c>
      <c r="L727" s="46" t="n">
        <f aca="false">IF(AND(K726&lt;0,L726&gt;=0),L$702-1+(-K726)/(L725-L724),0)</f>
        <v>0</v>
      </c>
      <c r="M727" s="46" t="n">
        <f aca="false">IF(AND(L726&lt;0,M726&gt;=0),M$702-1+(-L726)/(M725-M724),0)</f>
        <v>0</v>
      </c>
      <c r="N727" s="46" t="n">
        <f aca="false">IF(AND(M726&lt;0,N726&gt;=0),N$702-1+(-M726)/(N725-N724),0)</f>
        <v>0</v>
      </c>
      <c r="O727" s="46" t="n">
        <f aca="false">IF(AND(N726&lt;0,O726&gt;=0),O$702-1+(-N726)/(O725-O724),0)</f>
        <v>0</v>
      </c>
      <c r="P727" s="3"/>
    </row>
    <row r="728" customFormat="false" ht="15" hidden="false" customHeight="false" outlineLevel="0" collapsed="false">
      <c r="A728" s="3"/>
      <c r="B728" s="14" t="s">
        <v>424</v>
      </c>
      <c r="C728" s="47" t="n">
        <f aca="false">IFERROR(IRR(C725:O725,0.05),IFERROR(IRR(C725:O725,-0.05),IF(SUM(C725:O725)&lt;0,"negativa","n/d")))</f>
        <v>-0.0343841912253076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customFormat="false" ht="15" hidden="false" customHeight="false" outlineLevel="0" collapsed="false">
      <c r="A729" s="3"/>
      <c r="B729" s="14" t="s">
        <v>425</v>
      </c>
      <c r="C729" s="48" t="n">
        <f aca="false">C725*(1+Premissas!$B$10)^2+D725*(1+Premissas!$B$10)+E725+NPV(Premissas!$B$10,F725:O725)</f>
        <v>-6642691.02361929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customFormat="false" ht="15" hidden="false" customHeight="false" outlineLevel="0" collapsed="false">
      <c r="A730" s="3"/>
      <c r="B730" s="14" t="s">
        <v>426</v>
      </c>
      <c r="C730" s="49" t="str">
        <f aca="false">IF(SUM(F727:O727)=0,"&gt; 10",SUM(F727:O727))</f>
        <v>&gt; 10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customFormat="false" ht="15" hidden="false" customHeight="false" outlineLevel="0" collapsed="false">
      <c r="A731" s="3"/>
      <c r="B731" s="14" t="s">
        <v>427</v>
      </c>
      <c r="C731" s="47" t="n">
        <f aca="false">SUM(C725:O725)/-SUM(C723:E723)</f>
        <v>-0.26497026455237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customFormat="false" ht="15" hidden="false" customHeight="false" outlineLevel="0" collapsed="false">
      <c r="A732" s="3"/>
      <c r="B732" s="14" t="s">
        <v>428</v>
      </c>
      <c r="C732" s="47" t="n">
        <f aca="false">AVERAGE(F719:O719)*(1-Premissas!$B$11)/-SUM(C723:E723)</f>
        <v>0.00996475830768379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customFormat="false" ht="15" hidden="false" customHeight="false" outlineLevel="0" collapsed="false">
      <c r="A733" s="3"/>
      <c r="B733" s="14" t="s">
        <v>429</v>
      </c>
      <c r="C733" s="48" t="n">
        <f aca="false">H716</f>
        <v>566536.982921305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customFormat="false" ht="15" hidden="false" customHeight="false" outlineLevel="0" collapsed="false">
      <c r="A734" s="3"/>
      <c r="B734" s="14" t="s">
        <v>430</v>
      </c>
      <c r="C734" s="48" t="n">
        <f aca="false">H713</f>
        <v>3486234.72525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customFormat="false" ht="15" hidden="false" customHeight="false" outlineLevel="0" collapsed="false">
      <c r="A735" s="3"/>
      <c r="B735" s="14" t="s">
        <v>431</v>
      </c>
      <c r="C735" s="47" t="n">
        <f aca="false">H717</f>
        <v>0.162506838342814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customFormat="false" ht="15" hidden="false" customHeight="false" outlineLevel="0" collapsed="false">
      <c r="A736" s="3"/>
      <c r="B736" s="14" t="s">
        <v>432</v>
      </c>
      <c r="C736" s="48" t="n">
        <f aca="false">-(H714+H715)</f>
        <v>2919697.7423287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customFormat="false" ht="15" hidden="false" customHeight="false" outlineLevel="0" collapsed="false">
      <c r="A737" s="3"/>
      <c r="B737" s="14" t="s">
        <v>433</v>
      </c>
      <c r="C737" s="50" t="n">
        <f aca="false">IFERROR(-H715/((H713+H714)/H703),"n/d")</f>
        <v>23.6355088124962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customFormat="false" ht="15" hidden="false" customHeight="false" outlineLevel="0" collapsed="false">
      <c r="A738" s="3"/>
      <c r="B738" s="14" t="s">
        <v>434</v>
      </c>
      <c r="C738" s="48" t="n">
        <f aca="false">-SUM(C723:E723)</f>
        <v>10000000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customFormat="false" ht="15" hidden="false" customHeight="false" outlineLevel="0" collapsed="false">
      <c r="A739" s="3"/>
      <c r="B739" s="14" t="s">
        <v>435</v>
      </c>
      <c r="C739" s="48" t="n">
        <f aca="false">O724</f>
        <v>6000000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1" t="s">
        <v>453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6" t="s">
        <v>454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7" t="s">
        <v>58</v>
      </c>
      <c r="B4" s="8"/>
      <c r="C4" s="8"/>
      <c r="D4" s="8"/>
      <c r="E4" s="8"/>
      <c r="F4" s="8"/>
      <c r="G4" s="8"/>
      <c r="H4" s="8"/>
      <c r="I4" s="8"/>
      <c r="J4" s="8"/>
      <c r="K4" s="3"/>
      <c r="L4" s="3"/>
    </row>
    <row r="5" customFormat="false" ht="15" hidden="false" customHeight="false" outlineLevel="0" collapsed="false">
      <c r="A5" s="14" t="s">
        <v>455</v>
      </c>
      <c r="B5" s="14" t="s">
        <v>456</v>
      </c>
      <c r="C5" s="14" t="s">
        <v>246</v>
      </c>
      <c r="D5" s="14" t="s">
        <v>457</v>
      </c>
      <c r="E5" s="14" t="s">
        <v>412</v>
      </c>
      <c r="F5" s="14" t="s">
        <v>458</v>
      </c>
      <c r="G5" s="14" t="s">
        <v>459</v>
      </c>
      <c r="H5" s="14" t="s">
        <v>460</v>
      </c>
      <c r="I5" s="14" t="s">
        <v>461</v>
      </c>
      <c r="J5" s="14" t="s">
        <v>462</v>
      </c>
      <c r="K5" s="3"/>
      <c r="L5" s="3"/>
    </row>
    <row r="6" customFormat="false" ht="15" hidden="false" customHeight="false" outlineLevel="0" collapsed="false">
      <c r="A6" s="3" t="s">
        <v>463</v>
      </c>
      <c r="B6" s="38" t="n">
        <v>10</v>
      </c>
      <c r="C6" s="36" t="n">
        <f aca="false">MIN(B6,Premissas!$C$30)*Premissas!$B$77*Premissas!$C$32+(B6-MIN(B6,Premissas!$C$30)-MIN(B6-MIN(B6,Premissas!$C$30),Premissas!$C$31))*Premissas!$B$77*Premissas!$C$32*(1-Premissas!$B$12)+MIN(B6-MIN(B6,Premissas!$C$30),Premissas!$C$31)*Premissas!$B$44*Premissas!$C$38*Premissas!$B$78*Premissas!$C$32*(1-Premissas!$B$12)+B6*Premissas!$B$44*Premissas!$B$14*Premissas!$B$13</f>
        <v>2937840</v>
      </c>
      <c r="D6" s="36" t="n">
        <f aca="false">B6*(Premissas!$B$70*Premissas!$C$34/Premissas!$B$6+Premissas!$B$75)*Premissas!$C$33+Premissas!$B$68*Premissas!$C$33</f>
        <v>3946883.30434783</v>
      </c>
      <c r="E6" s="36" t="n">
        <f aca="false">C6-D6</f>
        <v>-1009043.30434783</v>
      </c>
      <c r="F6" s="42" t="n">
        <f aca="false">IF(C6=0,0,E6/C6)</f>
        <v>-0.343464349436261</v>
      </c>
      <c r="G6" s="36" t="n">
        <f aca="false">E6-MAX(0,E6-Premissas!$B$52*(1-Premissas!$C$35)/10)*Premissas!$B$11-(Premissas!$B$52*(Premissas!$B$84+Premissas!$B$85/10)+(Premissas!$B$80+Premissas!$B$81+Premissas!$B$82+Premissas!$B$83)/10)</f>
        <v>-1693424.30434783</v>
      </c>
      <c r="H6" s="42" t="n">
        <f aca="false">IFERROR(RATE(10,G6,-Premissas!$B$52,Premissas!$B$52*Premissas!$C$35),"&lt; -10%")</f>
        <v>-0.106389796496743</v>
      </c>
      <c r="I6" s="36" t="n">
        <f aca="false">(D6+((Premissas!$B$52-Premissas!$B$52*Premissas!$C$35/(1+Premissas!$B$10)^10)*(Premissas!$B$10/(1-(1+Premissas!$B$10)^-10))+(Premissas!$B$52*(Premissas!$B$84+Premissas!$B$85/10)+(Premissas!$B$80+Premissas!$B$81+Premissas!$B$82+Premissas!$B$83)/10)))/B6</f>
        <v>1074924.83243502</v>
      </c>
      <c r="J6" s="36" t="n">
        <f aca="false">Premissas!$B$77*Premissas!$C$32</f>
        <v>300000</v>
      </c>
      <c r="K6" s="3"/>
      <c r="L6" s="3"/>
    </row>
    <row r="7" customFormat="false" ht="15" hidden="false" customHeight="false" outlineLevel="0" collapsed="false">
      <c r="A7" s="3" t="s">
        <v>464</v>
      </c>
      <c r="B7" s="38" t="n">
        <v>15</v>
      </c>
      <c r="C7" s="36" t="n">
        <f aca="false">MIN(B7,Premissas!$C$30)*Premissas!$B$77*Premissas!$C$32+(B7-MIN(B7,Premissas!$C$30)-MIN(B7-MIN(B7,Premissas!$C$30),Premissas!$C$31))*Premissas!$B$77*Premissas!$C$32*(1-Premissas!$B$12)+MIN(B7-MIN(B7,Premissas!$C$30),Premissas!$C$31)*Premissas!$B$44*Premissas!$C$38*Premissas!$B$78*Premissas!$C$32*(1-Premissas!$B$12)+B7*Premissas!$B$44*Premissas!$B$14*Premissas!$B$13</f>
        <v>4192080</v>
      </c>
      <c r="D7" s="36" t="n">
        <f aca="false">B7*(Premissas!$B$70*Premissas!$C$34/Premissas!$B$6+Premissas!$B$75)*Premissas!$C$33+Premissas!$B$68*Premissas!$C$33</f>
        <v>4223238.95652174</v>
      </c>
      <c r="E7" s="36" t="n">
        <f aca="false">C7-D7</f>
        <v>-31158.9565217393</v>
      </c>
      <c r="F7" s="42" t="n">
        <f aca="false">IF(C7=0,0,E7/C7)</f>
        <v>-0.00743281533790845</v>
      </c>
      <c r="G7" s="36" t="n">
        <f aca="false">E7-MAX(0,E7-Premissas!$B$52*(1-Premissas!$C$35)/10)*Premissas!$B$11-(Premissas!$B$52*(Premissas!$B$84+Premissas!$B$85/10)+(Premissas!$B$80+Premissas!$B$81+Premissas!$B$82+Premissas!$B$83)/10)</f>
        <v>-715539.956521739</v>
      </c>
      <c r="H7" s="42" t="n">
        <f aca="false">IFERROR(RATE(10,G7,-Premissas!$B$52,Premissas!$B$52*Premissas!$C$35),"&lt; -10%")</f>
        <v>-0.0781613395089636</v>
      </c>
      <c r="I7" s="36" t="n">
        <f aca="false">(D7+((Premissas!$B$52-Premissas!$B$52*Premissas!$C$35/(1+Premissas!$B$10)^10)*(Premissas!$B$10/(1-(1+Premissas!$B$10)^-10))+(Premissas!$B$52*(Premissas!$B$84+Premissas!$B$85/10)+(Premissas!$B$80+Premissas!$B$81+Premissas!$B$82+Premissas!$B$83)/10)))/B7</f>
        <v>735040.265101608</v>
      </c>
      <c r="J7" s="36" t="n">
        <f aca="false">Premissas!$B$77*Premissas!$C$32</f>
        <v>300000</v>
      </c>
      <c r="K7" s="3"/>
      <c r="L7" s="3"/>
    </row>
    <row r="8" customFormat="false" ht="15" hidden="false" customHeight="false" outlineLevel="0" collapsed="false">
      <c r="A8" s="3" t="s">
        <v>465</v>
      </c>
      <c r="B8" s="38" t="n">
        <v>20</v>
      </c>
      <c r="C8" s="36" t="n">
        <f aca="false">MIN(B8,Premissas!$C$30)*Premissas!$B$77*Premissas!$C$32+(B8-MIN(B8,Premissas!$C$30)-MIN(B8-MIN(B8,Premissas!$C$30),Premissas!$C$31))*Premissas!$B$77*Premissas!$C$32*(1-Premissas!$B$12)+MIN(B8-MIN(B8,Premissas!$C$30),Premissas!$C$31)*Premissas!$B$44*Premissas!$C$38*Premissas!$B$78*Premissas!$C$32*(1-Premissas!$B$12)+B8*Premissas!$B$44*Premissas!$B$14*Premissas!$B$13</f>
        <v>5515680</v>
      </c>
      <c r="D8" s="36" t="n">
        <f aca="false">B8*(Premissas!$B$70*Premissas!$C$34/Premissas!$B$6+Premissas!$B$75)*Premissas!$C$33+Premissas!$B$68*Premissas!$C$33</f>
        <v>4499594.60869565</v>
      </c>
      <c r="E8" s="36" t="n">
        <f aca="false">C8-D8</f>
        <v>1016085.39130435</v>
      </c>
      <c r="F8" s="42" t="n">
        <f aca="false">IF(C8=0,0,E8/C8)</f>
        <v>0.184217610757757</v>
      </c>
      <c r="G8" s="36" t="n">
        <f aca="false">E8-MAX(0,E8-Premissas!$B$52*(1-Premissas!$C$35)/10)*Premissas!$B$11-(Premissas!$B$52*(Premissas!$B$84+Premissas!$B$85/10)+(Premissas!$B$80+Premissas!$B$81+Premissas!$B$82+Premissas!$B$83)/10)</f>
        <v>331704.391304348</v>
      </c>
      <c r="H8" s="42" t="n">
        <f aca="false">IFERROR(RATE(10,G8,-Premissas!$B$52,Premissas!$B$52*Premissas!$C$35),"&lt; -10%")</f>
        <v>-0.0488420364004539</v>
      </c>
      <c r="I8" s="36" t="n">
        <f aca="false">(D8+((Premissas!$B$52-Premissas!$B$52*Premissas!$C$35/(1+Premissas!$B$10)^10)*(Premissas!$B$10/(1-(1+Premissas!$B$10)^-10))+(Premissas!$B$52*(Premissas!$B$84+Premissas!$B$85/10)+(Premissas!$B$80+Premissas!$B$81+Premissas!$B$82+Premissas!$B$83)/10)))/B8</f>
        <v>565097.981434902</v>
      </c>
      <c r="J8" s="36" t="n">
        <f aca="false">Premissas!$B$77*Premissas!$C$32</f>
        <v>300000</v>
      </c>
      <c r="K8" s="3"/>
      <c r="L8" s="3"/>
    </row>
    <row r="9" customFormat="false" ht="15" hidden="false" customHeight="false" outlineLevel="0" collapsed="false">
      <c r="A9" s="3" t="s">
        <v>466</v>
      </c>
      <c r="B9" s="38" t="n">
        <v>25</v>
      </c>
      <c r="C9" s="36" t="n">
        <f aca="false">MIN(B9,Premissas!$C$30)*Premissas!$B$77*Premissas!$C$32+(B9-MIN(B9,Premissas!$C$30)-MIN(B9-MIN(B9,Premissas!$C$30),Premissas!$C$31))*Premissas!$B$77*Premissas!$C$32*(1-Premissas!$B$12)+MIN(B9-MIN(B9,Premissas!$C$30),Premissas!$C$31)*Premissas!$B$44*Premissas!$C$38*Premissas!$B$78*Premissas!$C$32*(1-Premissas!$B$12)+B9*Premissas!$B$44*Premissas!$B$14*Premissas!$B$13</f>
        <v>6839280</v>
      </c>
      <c r="D9" s="36" t="n">
        <f aca="false">B9*(Premissas!$B$70*Premissas!$C$34/Premissas!$B$6+Premissas!$B$75)*Premissas!$C$33+Premissas!$B$68*Premissas!$C$33</f>
        <v>4775950.26086957</v>
      </c>
      <c r="E9" s="36" t="n">
        <f aca="false">C9-D9</f>
        <v>2063329.73913043</v>
      </c>
      <c r="F9" s="42" t="n">
        <f aca="false">IF(C9=0,0,E9/C9)</f>
        <v>0.301688151257213</v>
      </c>
      <c r="G9" s="36" t="n">
        <f aca="false">E9-MAX(0,E9-Premissas!$B$52*(1-Premissas!$C$35)/10)*Premissas!$B$11-(Premissas!$B$52*(Premissas!$B$84+Premissas!$B$85/10)+(Premissas!$B$80+Premissas!$B$81+Premissas!$B$82+Premissas!$B$83)/10)</f>
        <v>1378948.73913043</v>
      </c>
      <c r="H9" s="42" t="n">
        <f aca="false">IFERROR(RATE(10,G9,-Premissas!$B$52,Premissas!$B$52*Premissas!$C$35),"&lt; -10%")</f>
        <v>-0.0203791093053268</v>
      </c>
      <c r="I9" s="36" t="n">
        <f aca="false">(D9+((Premissas!$B$52-Premissas!$B$52*Premissas!$C$35/(1+Premissas!$B$10)^10)*(Premissas!$B$10/(1-(1+Premissas!$B$10)^-10))+(Premissas!$B$52*(Premissas!$B$84+Premissas!$B$85/10)+(Premissas!$B$80+Premissas!$B$81+Premissas!$B$82+Premissas!$B$83)/10)))/B9</f>
        <v>463132.611234878</v>
      </c>
      <c r="J9" s="36" t="n">
        <f aca="false">Premissas!$B$77*Premissas!$C$32</f>
        <v>300000</v>
      </c>
      <c r="K9" s="3"/>
      <c r="L9" s="3"/>
    </row>
    <row r="10" customFormat="false" ht="15" hidden="false" customHeight="false" outlineLevel="0" collapsed="false">
      <c r="A10" s="3" t="s">
        <v>467</v>
      </c>
      <c r="B10" s="38" t="n">
        <v>30</v>
      </c>
      <c r="C10" s="36" t="n">
        <f aca="false">MIN(B10,Premissas!$C$30)*Premissas!$B$77*Premissas!$C$32+(B10-MIN(B10,Premissas!$C$30)-MIN(B10-MIN(B10,Premissas!$C$30),Premissas!$C$31))*Premissas!$B$77*Premissas!$C$32*(1-Premissas!$B$12)+MIN(B10-MIN(B10,Premissas!$C$30),Premissas!$C$31)*Premissas!$B$44*Premissas!$C$38*Premissas!$B$78*Premissas!$C$32*(1-Premissas!$B$12)+B10*Premissas!$B$44*Premissas!$B$14*Premissas!$B$13</f>
        <v>8162880</v>
      </c>
      <c r="D10" s="36" t="n">
        <f aca="false">B10*(Premissas!$B$70*Premissas!$C$34/Premissas!$B$6+Premissas!$B$75)*Premissas!$C$33+Premissas!$B$68*Premissas!$C$33</f>
        <v>5052305.91304348</v>
      </c>
      <c r="E10" s="36" t="n">
        <f aca="false">C10-D10</f>
        <v>3110574.08695652</v>
      </c>
      <c r="F10" s="42" t="n">
        <f aca="false">IF(C10=0,0,E10/C10)</f>
        <v>0.381063311840493</v>
      </c>
      <c r="G10" s="36" t="n">
        <f aca="false">E10-MAX(0,E10-Premissas!$B$52*(1-Premissas!$C$35)/10)*Premissas!$B$11-(Premissas!$B$52*(Premissas!$B$84+Premissas!$B$85/10)+(Premissas!$B$80+Premissas!$B$81+Premissas!$B$82+Premissas!$B$83)/10)</f>
        <v>2098545.5973913</v>
      </c>
      <c r="H10" s="42" t="n">
        <f aca="false">IFERROR(RATE(10,G10,-Premissas!$B$52,Premissas!$B$52*Premissas!$C$35),"&lt; -10%")</f>
        <v>-0.00127176619290511</v>
      </c>
      <c r="I10" s="36" t="n">
        <f aca="false">(D10+((Premissas!$B$52-Premissas!$B$52*Premissas!$C$35/(1+Premissas!$B$10)^10)*(Premissas!$B$10/(1-(1+Premissas!$B$10)^-10))+(Premissas!$B$52*(Premissas!$B$84+Premissas!$B$85/10)+(Premissas!$B$80+Premissas!$B$81+Premissas!$B$82+Premissas!$B$83)/10)))/B10</f>
        <v>395155.697768196</v>
      </c>
      <c r="J10" s="36" t="n">
        <f aca="false">Premissas!$B$77*Premissas!$C$32</f>
        <v>300000</v>
      </c>
      <c r="K10" s="3"/>
      <c r="L10" s="3"/>
    </row>
    <row r="11" customFormat="false" ht="15" hidden="false" customHeight="false" outlineLevel="0" collapsed="false">
      <c r="A11" s="3" t="s">
        <v>468</v>
      </c>
      <c r="B11" s="38" t="n">
        <v>35</v>
      </c>
      <c r="C11" s="36" t="n">
        <f aca="false">MIN(B11,Premissas!$C$30)*Premissas!$B$77*Premissas!$C$32+(B11-MIN(B11,Premissas!$C$30)-MIN(B11-MIN(B11,Premissas!$C$30),Premissas!$C$31))*Premissas!$B$77*Premissas!$C$32*(1-Premissas!$B$12)+MIN(B11-MIN(B11,Premissas!$C$30),Premissas!$C$31)*Premissas!$B$44*Premissas!$C$38*Premissas!$B$78*Premissas!$C$32*(1-Premissas!$B$12)+B11*Premissas!$B$44*Premissas!$B$14*Premissas!$B$13</f>
        <v>9486480</v>
      </c>
      <c r="D11" s="36" t="n">
        <f aca="false">B11*(Premissas!$B$70*Premissas!$C$34/Premissas!$B$6+Premissas!$B$75)*Premissas!$C$33+Premissas!$B$68*Premissas!$C$33</f>
        <v>5328661.56521739</v>
      </c>
      <c r="E11" s="36" t="n">
        <f aca="false">C11-D11</f>
        <v>4157818.43478261</v>
      </c>
      <c r="F11" s="42" t="n">
        <f aca="false">IF(C11=0,0,E11/C11)</f>
        <v>0.438288852638978</v>
      </c>
      <c r="G11" s="36" t="n">
        <f aca="false">E11-MAX(0,E11-Premissas!$B$52*(1-Premissas!$C$35)/10)*Premissas!$B$11-(Premissas!$B$52*(Premissas!$B$84+Premissas!$B$85/10)+(Premissas!$B$80+Premissas!$B$81+Premissas!$B$82+Premissas!$B$83)/10)</f>
        <v>2789726.86695652</v>
      </c>
      <c r="H11" s="42" t="n">
        <f aca="false">IFERROR(RATE(10,G11,-Premissas!$B$52,Premissas!$B$52*Premissas!$C$35),"&lt; -10%")</f>
        <v>0.0167653548607292</v>
      </c>
      <c r="I11" s="36" t="n">
        <f aca="false">(D11+((Premissas!$B$52-Premissas!$B$52*Premissas!$C$35/(1+Premissas!$B$10)^10)*(Premissas!$B$10/(1-(1+Premissas!$B$10)^-10))+(Premissas!$B$52*(Premissas!$B$84+Premissas!$B$85/10)+(Premissas!$B$80+Premissas!$B$81+Premissas!$B$82+Premissas!$B$83)/10)))/B11</f>
        <v>346600.759577708</v>
      </c>
      <c r="J11" s="36" t="n">
        <f aca="false">Premissas!$B$77*Premissas!$C$32</f>
        <v>300000</v>
      </c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7" t="s">
        <v>59</v>
      </c>
      <c r="B13" s="8"/>
      <c r="C13" s="8"/>
      <c r="D13" s="8"/>
      <c r="E13" s="8"/>
      <c r="F13" s="8"/>
      <c r="G13" s="8"/>
      <c r="H13" s="8"/>
      <c r="I13" s="8"/>
      <c r="J13" s="8"/>
      <c r="K13" s="3"/>
      <c r="L13" s="3"/>
    </row>
    <row r="14" customFormat="false" ht="15" hidden="false" customHeight="false" outlineLevel="0" collapsed="false">
      <c r="A14" s="14" t="s">
        <v>455</v>
      </c>
      <c r="B14" s="14" t="s">
        <v>456</v>
      </c>
      <c r="C14" s="14" t="s">
        <v>246</v>
      </c>
      <c r="D14" s="14" t="s">
        <v>457</v>
      </c>
      <c r="E14" s="14" t="s">
        <v>412</v>
      </c>
      <c r="F14" s="14" t="s">
        <v>458</v>
      </c>
      <c r="G14" s="14" t="s">
        <v>459</v>
      </c>
      <c r="H14" s="14" t="s">
        <v>460</v>
      </c>
      <c r="I14" s="14" t="s">
        <v>461</v>
      </c>
      <c r="J14" s="14" t="s">
        <v>462</v>
      </c>
      <c r="K14" s="3"/>
      <c r="L14" s="3"/>
    </row>
    <row r="15" customFormat="false" ht="15" hidden="false" customHeight="false" outlineLevel="0" collapsed="false">
      <c r="A15" s="3" t="s">
        <v>463</v>
      </c>
      <c r="B15" s="38" t="n">
        <v>10</v>
      </c>
      <c r="C15" s="36" t="n">
        <f aca="false">MIN(B15,Premissas!$C$30)*Premissas!$C$77*Premissas!$C$32+(B15-MIN(B15,Premissas!$C$30)-MIN(B15-MIN(B15,Premissas!$C$30),Premissas!$C$31))*Premissas!$C$77*Premissas!$C$32*(1-Premissas!$B$12)+MIN(B15-MIN(B15,Premissas!$C$30),Premissas!$C$31)*Premissas!$C$44*Premissas!$C$38*Premissas!$C$78*Premissas!$C$32*(1-Premissas!$B$12)+B15*Premissas!$C$44*Premissas!$B$14*Premissas!$B$13</f>
        <v>2651940</v>
      </c>
      <c r="D15" s="36" t="n">
        <f aca="false">B15*(Premissas!$C$70*Premissas!$C$34/Premissas!$B$6+Premissas!$C$75)*Premissas!$C$33+Premissas!$C$68*Premissas!$C$33</f>
        <v>4006411.30434783</v>
      </c>
      <c r="E15" s="36" t="n">
        <f aca="false">C15-D15</f>
        <v>-1354471.30434783</v>
      </c>
      <c r="F15" s="42" t="n">
        <f aca="false">IF(C15=0,0,E15/C15)</f>
        <v>-0.510747341322891</v>
      </c>
      <c r="G15" s="36" t="n">
        <f aca="false">E15-MAX(0,E15-Premissas!$C$52*(1-Premissas!$C$36)/10)*Premissas!$B$11-(Premissas!$C$52*(Premissas!$C$84+Premissas!$C$85/10)+(Premissas!$C$80+Premissas!$C$81+Premissas!$C$82+Premissas!$C$83)/10)</f>
        <v>-1959071.30434783</v>
      </c>
      <c r="H15" s="42" t="n">
        <f aca="false">IFERROR(RATE(10,G15,-Premissas!$C$52,Premissas!$C$52*Premissas!$C$36),"&lt; -10%")</f>
        <v>-0.205896385459456</v>
      </c>
      <c r="I15" s="36" t="n">
        <f aca="false">(D15+((Premissas!$C$52-Premissas!$C$52*Premissas!$C$36/(1+Premissas!$B$10)^10)*(Premissas!$B$10/(1-(1+Premissas!$B$10)^-10))+(Premissas!$C$52*(Premissas!$C$84+Premissas!$C$85/10)+(Premissas!$C$80+Premissas!$C$81+Premissas!$C$82+Premissas!$C$83)/10)))/B15</f>
        <v>742238.70295907</v>
      </c>
      <c r="J15" s="36" t="n">
        <f aca="false">Premissas!$C$77*Premissas!$C$32</f>
        <v>270000</v>
      </c>
      <c r="K15" s="3"/>
      <c r="L15" s="3"/>
    </row>
    <row r="16" customFormat="false" ht="15" hidden="false" customHeight="false" outlineLevel="0" collapsed="false">
      <c r="A16" s="3" t="s">
        <v>464</v>
      </c>
      <c r="B16" s="38" t="n">
        <v>15</v>
      </c>
      <c r="C16" s="36" t="n">
        <f aca="false">MIN(B16,Premissas!$C$30)*Premissas!$C$77*Premissas!$C$32+(B16-MIN(B16,Premissas!$C$30)-MIN(B16-MIN(B16,Premissas!$C$30),Premissas!$C$31))*Premissas!$C$77*Premissas!$C$32*(1-Premissas!$B$12)+MIN(B16-MIN(B16,Premissas!$C$30),Premissas!$C$31)*Premissas!$C$44*Premissas!$C$38*Premissas!$C$78*Premissas!$C$32*(1-Premissas!$B$12)+B16*Premissas!$C$44*Premissas!$B$14*Premissas!$B$13</f>
        <v>3783780</v>
      </c>
      <c r="D16" s="36" t="n">
        <f aca="false">B16*(Premissas!$C$70*Premissas!$C$34/Premissas!$B$6+Premissas!$C$75)*Premissas!$C$33+Premissas!$C$68*Premissas!$C$33</f>
        <v>4282766.95652174</v>
      </c>
      <c r="E16" s="36" t="n">
        <f aca="false">C16-D16</f>
        <v>-498986.956521739</v>
      </c>
      <c r="F16" s="42" t="n">
        <f aca="false">IF(C16=0,0,E16/C16)</f>
        <v>-0.131875256098859</v>
      </c>
      <c r="G16" s="36" t="n">
        <f aca="false">E16-MAX(0,E16-Premissas!$C$52*(1-Premissas!$C$36)/10)*Premissas!$B$11-(Premissas!$C$52*(Premissas!$C$84+Premissas!$C$85/10)+(Premissas!$C$80+Premissas!$C$81+Premissas!$C$82+Premissas!$C$83)/10)</f>
        <v>-1103586.95652174</v>
      </c>
      <c r="H16" s="42" t="n">
        <f aca="false">IFERROR(RATE(10,G16,-Premissas!$C$52,Premissas!$C$52*Premissas!$C$36),"&lt; -10%")</f>
        <v>-0.142236991461899</v>
      </c>
      <c r="I16" s="36" t="n">
        <f aca="false">(D16+((Premissas!$C$52-Premissas!$C$52*Premissas!$C$36/(1+Premissas!$B$10)^10)*(Premissas!$B$10/(1-(1+Premissas!$B$10)^-10))+(Premissas!$C$52*(Premissas!$C$84+Premissas!$C$85/10)+(Premissas!$C$80+Premissas!$C$81+Premissas!$C$82+Premissas!$C$83)/10)))/B16</f>
        <v>513249.512117641</v>
      </c>
      <c r="J16" s="36" t="n">
        <f aca="false">Premissas!$C$77*Premissas!$C$32</f>
        <v>270000</v>
      </c>
      <c r="K16" s="3"/>
      <c r="L16" s="3"/>
    </row>
    <row r="17" customFormat="false" ht="15" hidden="false" customHeight="false" outlineLevel="0" collapsed="false">
      <c r="A17" s="3" t="s">
        <v>465</v>
      </c>
      <c r="B17" s="38" t="n">
        <v>20</v>
      </c>
      <c r="C17" s="36" t="n">
        <f aca="false">MIN(B17,Premissas!$C$30)*Premissas!$C$77*Premissas!$C$32+(B17-MIN(B17,Premissas!$C$30)-MIN(B17-MIN(B17,Premissas!$C$30),Premissas!$C$31))*Premissas!$C$77*Premissas!$C$32*(1-Premissas!$B$12)+MIN(B17-MIN(B17,Premissas!$C$30),Premissas!$C$31)*Premissas!$C$44*Premissas!$C$38*Premissas!$C$78*Premissas!$C$32*(1-Premissas!$B$12)+B17*Premissas!$C$44*Premissas!$B$14*Premissas!$B$13</f>
        <v>4979880</v>
      </c>
      <c r="D17" s="36" t="n">
        <f aca="false">B17*(Premissas!$C$70*Premissas!$C$34/Premissas!$B$6+Premissas!$C$75)*Premissas!$C$33+Premissas!$C$68*Premissas!$C$33</f>
        <v>4559122.60869565</v>
      </c>
      <c r="E17" s="36" t="n">
        <f aca="false">C17-D17</f>
        <v>420757.391304348</v>
      </c>
      <c r="F17" s="42" t="n">
        <f aca="false">IF(C17=0,0,E17/C17)</f>
        <v>0.0844914719439721</v>
      </c>
      <c r="G17" s="36" t="n">
        <f aca="false">E17-MAX(0,E17-Premissas!$C$52*(1-Premissas!$C$36)/10)*Premissas!$B$11-(Premissas!$C$52*(Premissas!$C$84+Premissas!$C$85/10)+(Premissas!$C$80+Premissas!$C$81+Premissas!$C$82+Premissas!$C$83)/10)</f>
        <v>-183842.608695652</v>
      </c>
      <c r="H17" s="42" t="n">
        <f aca="false">IFERROR(RATE(10,G17,-Premissas!$C$52,Premissas!$C$52*Premissas!$C$36),"&lt; -10%")</f>
        <v>-0.0790247217018685</v>
      </c>
      <c r="I17" s="36" t="n">
        <f aca="false">(D17+((Premissas!$C$52-Premissas!$C$52*Premissas!$C$36/(1+Premissas!$B$10)^10)*(Premissas!$B$10/(1-(1+Premissas!$B$10)^-10))+(Premissas!$C$52*(Premissas!$C$84+Premissas!$C$85/10)+(Premissas!$C$80+Premissas!$C$81+Premissas!$C$82+Premissas!$C$83)/10)))/B17</f>
        <v>398754.916696926</v>
      </c>
      <c r="J17" s="36" t="n">
        <f aca="false">Premissas!$C$77*Premissas!$C$32</f>
        <v>270000</v>
      </c>
      <c r="K17" s="3"/>
      <c r="L17" s="3"/>
    </row>
    <row r="18" customFormat="false" ht="15" hidden="false" customHeight="false" outlineLevel="0" collapsed="false">
      <c r="A18" s="3" t="s">
        <v>466</v>
      </c>
      <c r="B18" s="38" t="n">
        <v>25</v>
      </c>
      <c r="C18" s="36" t="n">
        <f aca="false">MIN(B18,Premissas!$C$30)*Premissas!$C$77*Premissas!$C$32+(B18-MIN(B18,Premissas!$C$30)-MIN(B18-MIN(B18,Premissas!$C$30),Premissas!$C$31))*Premissas!$C$77*Premissas!$C$32*(1-Premissas!$B$12)+MIN(B18-MIN(B18,Premissas!$C$30),Premissas!$C$31)*Premissas!$C$44*Premissas!$C$38*Premissas!$C$78*Premissas!$C$32*(1-Premissas!$B$12)+B18*Premissas!$C$44*Premissas!$B$14*Premissas!$B$13</f>
        <v>6175980</v>
      </c>
      <c r="D18" s="36" t="n">
        <f aca="false">B18*(Premissas!$C$70*Premissas!$C$34/Premissas!$B$6+Premissas!$C$75)*Premissas!$C$33+Premissas!$C$68*Premissas!$C$33</f>
        <v>4835478.26086957</v>
      </c>
      <c r="E18" s="36" t="n">
        <f aca="false">C18-D18</f>
        <v>1340501.73913043</v>
      </c>
      <c r="F18" s="42" t="n">
        <f aca="false">IF(C18=0,0,E18/C18)</f>
        <v>0.217050854946168</v>
      </c>
      <c r="G18" s="36" t="n">
        <f aca="false">E18-MAX(0,E18-Premissas!$C$52*(1-Premissas!$C$36)/10)*Premissas!$B$11-(Premissas!$C$52*(Premissas!$C$84+Premissas!$C$85/10)+(Premissas!$C$80+Premissas!$C$81+Premissas!$C$82+Premissas!$C$83)/10)</f>
        <v>643931.147826087</v>
      </c>
      <c r="H18" s="42" t="n">
        <f aca="false">IFERROR(RATE(10,G18,-Premissas!$C$52,Premissas!$C$52*Premissas!$C$36),"&lt; -10%")</f>
        <v>-0.0260557247512728</v>
      </c>
      <c r="I18" s="36" t="n">
        <f aca="false">(D18+((Premissas!$C$52-Premissas!$C$52*Premissas!$C$36/(1+Premissas!$B$10)^10)*(Premissas!$B$10/(1-(1+Premissas!$B$10)^-10))+(Premissas!$C$52*(Premissas!$C$84+Premissas!$C$85/10)+(Premissas!$C$80+Premissas!$C$81+Premissas!$C$82+Premissas!$C$83)/10)))/B18</f>
        <v>330058.159444498</v>
      </c>
      <c r="J18" s="36" t="n">
        <f aca="false">Premissas!$C$77*Premissas!$C$32</f>
        <v>270000</v>
      </c>
      <c r="K18" s="3"/>
      <c r="L18" s="3"/>
    </row>
    <row r="19" customFormat="false" ht="15" hidden="false" customHeight="false" outlineLevel="0" collapsed="false">
      <c r="A19" s="3" t="s">
        <v>467</v>
      </c>
      <c r="B19" s="38" t="n">
        <v>30</v>
      </c>
      <c r="C19" s="36" t="n">
        <f aca="false">MIN(B19,Premissas!$C$30)*Premissas!$C$77*Premissas!$C$32+(B19-MIN(B19,Premissas!$C$30)-MIN(B19-MIN(B19,Premissas!$C$30),Premissas!$C$31))*Premissas!$C$77*Premissas!$C$32*(1-Premissas!$B$12)+MIN(B19-MIN(B19,Premissas!$C$30),Premissas!$C$31)*Premissas!$C$44*Premissas!$C$38*Premissas!$C$78*Premissas!$C$32*(1-Premissas!$B$12)+B19*Premissas!$C$44*Premissas!$B$14*Premissas!$B$13</f>
        <v>7372080</v>
      </c>
      <c r="D19" s="36" t="n">
        <f aca="false">B19*(Premissas!$C$70*Premissas!$C$34/Premissas!$B$6+Premissas!$C$75)*Premissas!$C$33+Premissas!$C$68*Premissas!$C$33</f>
        <v>5111833.91304348</v>
      </c>
      <c r="E19" s="36" t="n">
        <f aca="false">C19-D19</f>
        <v>2260246.08695652</v>
      </c>
      <c r="F19" s="42" t="n">
        <f aca="false">IF(C19=0,0,E19/C19)</f>
        <v>0.30659543669582</v>
      </c>
      <c r="G19" s="36" t="n">
        <f aca="false">E19-MAX(0,E19-Premissas!$C$52*(1-Premissas!$C$36)/10)*Premissas!$B$11-(Premissas!$C$52*(Premissas!$C$84+Premissas!$C$85/10)+(Premissas!$C$80+Premissas!$C$81+Premissas!$C$82+Premissas!$C$83)/10)</f>
        <v>1250962.4173913</v>
      </c>
      <c r="H19" s="42" t="n">
        <f aca="false">IFERROR(RATE(10,G19,-Premissas!$C$52,Premissas!$C$52*Premissas!$C$36),"&lt; -10%")</f>
        <v>0.0108489133650104</v>
      </c>
      <c r="I19" s="36" t="n">
        <f aca="false">(D19+((Premissas!$C$52-Premissas!$C$52*Premissas!$C$36/(1+Premissas!$B$10)^10)*(Premissas!$B$10/(1-(1+Premissas!$B$10)^-10))+(Premissas!$C$52*(Premissas!$C$84+Premissas!$C$85/10)+(Premissas!$C$80+Premissas!$C$81+Premissas!$C$82+Premissas!$C$83)/10)))/B19</f>
        <v>284260.321276212</v>
      </c>
      <c r="J19" s="36" t="n">
        <f aca="false">Premissas!$C$77*Premissas!$C$32</f>
        <v>270000</v>
      </c>
      <c r="K19" s="3"/>
      <c r="L19" s="3"/>
    </row>
    <row r="20" customFormat="false" ht="15" hidden="false" customHeight="false" outlineLevel="0" collapsed="false">
      <c r="A20" s="3" t="s">
        <v>468</v>
      </c>
      <c r="B20" s="38" t="n">
        <v>35</v>
      </c>
      <c r="C20" s="36" t="n">
        <f aca="false">MIN(B20,Premissas!$C$30)*Premissas!$C$77*Premissas!$C$32+(B20-MIN(B20,Premissas!$C$30)-MIN(B20-MIN(B20,Premissas!$C$30),Premissas!$C$31))*Premissas!$C$77*Premissas!$C$32*(1-Premissas!$B$12)+MIN(B20-MIN(B20,Premissas!$C$30),Premissas!$C$31)*Premissas!$C$44*Premissas!$C$38*Premissas!$C$78*Premissas!$C$32*(1-Premissas!$B$12)+B20*Premissas!$C$44*Premissas!$B$14*Premissas!$B$13</f>
        <v>8568180</v>
      </c>
      <c r="D20" s="36" t="n">
        <f aca="false">B20*(Premissas!$C$70*Premissas!$C$34/Premissas!$B$6+Premissas!$C$75)*Premissas!$C$33+Premissas!$C$68*Premissas!$C$33</f>
        <v>5388189.56521739</v>
      </c>
      <c r="E20" s="36" t="n">
        <f aca="false">C20-D20</f>
        <v>3179990.43478261</v>
      </c>
      <c r="F20" s="42" t="n">
        <f aca="false">IF(C20=0,0,E20/C20)</f>
        <v>0.371139545945885</v>
      </c>
      <c r="G20" s="36" t="n">
        <f aca="false">E20-MAX(0,E20-Premissas!$C$52*(1-Premissas!$C$36)/10)*Premissas!$B$11-(Premissas!$C$52*(Premissas!$C$84+Premissas!$C$85/10)+(Premissas!$C$80+Premissas!$C$81+Premissas!$C$82+Premissas!$C$83)/10)</f>
        <v>1857993.68695652</v>
      </c>
      <c r="H20" s="42" t="n">
        <f aca="false">IFERROR(RATE(10,G20,-Premissas!$C$52,Premissas!$C$52*Premissas!$C$36),"&lt; -10%")</f>
        <v>0.046396326750006</v>
      </c>
      <c r="I20" s="36" t="n">
        <f aca="false">(D20+((Premissas!$C$52-Premissas!$C$52*Premissas!$C$36/(1+Premissas!$B$10)^10)*(Premissas!$B$10/(1-(1+Premissas!$B$10)^-10))+(Premissas!$C$52*(Premissas!$C$84+Premissas!$C$85/10)+(Premissas!$C$80+Premissas!$C$81+Premissas!$C$82+Premissas!$C$83)/10)))/B20</f>
        <v>251547.579727436</v>
      </c>
      <c r="J20" s="36" t="n">
        <f aca="false">Premissas!$C$77*Premissas!$C$32</f>
        <v>270000</v>
      </c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7" t="s">
        <v>60</v>
      </c>
      <c r="B22" s="8"/>
      <c r="C22" s="8"/>
      <c r="D22" s="8"/>
      <c r="E22" s="8"/>
      <c r="F22" s="8"/>
      <c r="G22" s="8"/>
      <c r="H22" s="8"/>
      <c r="I22" s="8"/>
      <c r="J22" s="8"/>
      <c r="K22" s="3"/>
      <c r="L22" s="3"/>
    </row>
    <row r="23" customFormat="false" ht="15" hidden="false" customHeight="false" outlineLevel="0" collapsed="false">
      <c r="A23" s="14" t="s">
        <v>455</v>
      </c>
      <c r="B23" s="14" t="s">
        <v>456</v>
      </c>
      <c r="C23" s="14" t="s">
        <v>246</v>
      </c>
      <c r="D23" s="14" t="s">
        <v>457</v>
      </c>
      <c r="E23" s="14" t="s">
        <v>412</v>
      </c>
      <c r="F23" s="14" t="s">
        <v>458</v>
      </c>
      <c r="G23" s="14" t="s">
        <v>459</v>
      </c>
      <c r="H23" s="14" t="s">
        <v>460</v>
      </c>
      <c r="I23" s="14" t="s">
        <v>461</v>
      </c>
      <c r="J23" s="14" t="s">
        <v>462</v>
      </c>
      <c r="K23" s="3"/>
      <c r="L23" s="3"/>
    </row>
    <row r="24" customFormat="false" ht="15" hidden="false" customHeight="false" outlineLevel="0" collapsed="false">
      <c r="A24" s="3" t="s">
        <v>463</v>
      </c>
      <c r="B24" s="38" t="n">
        <v>10</v>
      </c>
      <c r="C24" s="36" t="n">
        <f aca="false">MIN(B24,Premissas!$C$30)*Premissas!$D$77*Premissas!$C$32+(B24-MIN(B24,Premissas!$C$30)-MIN(B24-MIN(B24,Premissas!$C$30),Premissas!$C$31))*Premissas!$D$77*Premissas!$C$32*(1-Premissas!$B$12)+MIN(B24-MIN(B24,Premissas!$C$30),Premissas!$C$31)*Premissas!$D$44*Premissas!$C$38*Premissas!$D$78*Premissas!$C$32*(1-Premissas!$B$12)+B24*Premissas!$D$44*Premissas!$B$14*Premissas!$B$13</f>
        <v>1700200</v>
      </c>
      <c r="D24" s="36" t="n">
        <f aca="false">B24*(Premissas!$D$70*Premissas!$C$34/Premissas!$B$6+Premissas!$D$75)*Premissas!$C$33+Premissas!$D$68*Premissas!$C$33</f>
        <v>2912267.73913044</v>
      </c>
      <c r="E24" s="36" t="n">
        <f aca="false">C24-D24</f>
        <v>-1212067.73913044</v>
      </c>
      <c r="F24" s="42" t="n">
        <f aca="false">IF(C24=0,0,E24/C24)</f>
        <v>-0.712897152764637</v>
      </c>
      <c r="G24" s="36" t="n">
        <f aca="false">E24-MAX(0,E24-Premissas!$D$52*(1-Premissas!$C$35)/10)*Premissas!$B$11-(Premissas!$D$52*(Premissas!$D$84+Premissas!$D$85/10)+(Premissas!$D$80+Premissas!$D$81+Premissas!$D$82+Premissas!$D$83)/10)</f>
        <v>-1684527.73913044</v>
      </c>
      <c r="H24" s="42" t="n">
        <f aca="false">IFERROR(RATE(10,G24,-Premissas!$D$52,Premissas!$D$52*Premissas!$C$35),"&lt; -10%")</f>
        <v>-0.130827883633635</v>
      </c>
      <c r="I24" s="36" t="n">
        <f aca="false">(D24+((Premissas!$D$52-Premissas!$D$52*Premissas!$C$35/(1+Premissas!$B$10)^10)*(Premissas!$B$10/(1-(1+Premissas!$B$10)^-10))+(Premissas!$D$52*(Premissas!$D$84+Premissas!$D$85/10)+(Premissas!$D$80+Premissas!$D$81+Premissas!$D$82+Premissas!$D$83)/10)))/B24</f>
        <v>748056.729977677</v>
      </c>
      <c r="J24" s="36" t="n">
        <f aca="false">Premissas!$D$77*Premissas!$C$32</f>
        <v>170000</v>
      </c>
      <c r="K24" s="3"/>
      <c r="L24" s="3"/>
    </row>
    <row r="25" customFormat="false" ht="15" hidden="false" customHeight="false" outlineLevel="0" collapsed="false">
      <c r="A25" s="3" t="s">
        <v>464</v>
      </c>
      <c r="B25" s="38" t="n">
        <v>15</v>
      </c>
      <c r="C25" s="36" t="n">
        <f aca="false">MIN(B25,Premissas!$C$30)*Premissas!$D$77*Premissas!$C$32+(B25-MIN(B25,Premissas!$C$30)-MIN(B25-MIN(B25,Premissas!$C$30),Premissas!$C$31))*Premissas!$D$77*Premissas!$C$32*(1-Premissas!$B$12)+MIN(B25-MIN(B25,Premissas!$C$30),Premissas!$C$31)*Premissas!$D$44*Premissas!$C$38*Premissas!$D$78*Premissas!$C$32*(1-Premissas!$B$12)+B25*Premissas!$D$44*Premissas!$B$14*Premissas!$B$13</f>
        <v>2441500</v>
      </c>
      <c r="D25" s="36" t="n">
        <f aca="false">B25*(Premissas!$D$70*Premissas!$C$34/Premissas!$B$6+Premissas!$D$75)*Premissas!$C$33+Premissas!$D$68*Premissas!$C$33</f>
        <v>3103908.60869565</v>
      </c>
      <c r="E25" s="36" t="n">
        <f aca="false">C25-D25</f>
        <v>-662408.608695652</v>
      </c>
      <c r="F25" s="42" t="n">
        <f aca="false">IF(C25=0,0,E25/C25)</f>
        <v>-0.271312147735266</v>
      </c>
      <c r="G25" s="36" t="n">
        <f aca="false">E25-MAX(0,E25-Premissas!$D$52*(1-Premissas!$C$35)/10)*Premissas!$B$11-(Premissas!$D$52*(Premissas!$D$84+Premissas!$D$85/10)+(Premissas!$D$80+Premissas!$D$81+Premissas!$D$82+Premissas!$D$83)/10)</f>
        <v>-1134868.60869565</v>
      </c>
      <c r="H25" s="42" t="n">
        <f aca="false">IFERROR(RATE(10,G25,-Premissas!$D$52,Premissas!$D$52*Premissas!$C$35),"&lt; -10%")</f>
        <v>-0.106440706794029</v>
      </c>
      <c r="I25" s="36" t="n">
        <f aca="false">(D25+((Premissas!$D$52-Premissas!$D$52*Premissas!$C$35/(1+Premissas!$B$10)^10)*(Premissas!$B$10/(1-(1+Premissas!$B$10)^-10))+(Premissas!$D$52*(Premissas!$D$84+Premissas!$D$85/10)+(Premissas!$D$80+Premissas!$D$81+Premissas!$D$82+Premissas!$D$83)/10)))/B25</f>
        <v>511480.544622799</v>
      </c>
      <c r="J25" s="36" t="n">
        <f aca="false">Premissas!$D$77*Premissas!$C$32</f>
        <v>170000</v>
      </c>
      <c r="K25" s="3"/>
      <c r="L25" s="3"/>
    </row>
    <row r="26" customFormat="false" ht="15" hidden="false" customHeight="false" outlineLevel="0" collapsed="false">
      <c r="A26" s="3" t="s">
        <v>465</v>
      </c>
      <c r="B26" s="38" t="n">
        <v>20</v>
      </c>
      <c r="C26" s="36" t="n">
        <f aca="false">MIN(B26,Premissas!$C$30)*Premissas!$D$77*Premissas!$C$32+(B26-MIN(B26,Premissas!$C$30)-MIN(B26-MIN(B26,Premissas!$C$30),Premissas!$C$31))*Premissas!$D$77*Premissas!$C$32*(1-Premissas!$B$12)+MIN(B26-MIN(B26,Premissas!$C$30),Premissas!$C$31)*Premissas!$D$44*Premissas!$C$38*Premissas!$D$78*Premissas!$C$32*(1-Premissas!$B$12)+B26*Premissas!$D$44*Premissas!$B$14*Premissas!$B$13</f>
        <v>3196400</v>
      </c>
      <c r="D26" s="36" t="n">
        <f aca="false">B26*(Premissas!$D$70*Premissas!$C$34/Premissas!$B$6+Premissas!$D$75)*Premissas!$C$33+Premissas!$D$68*Premissas!$C$33</f>
        <v>3295549.47826087</v>
      </c>
      <c r="E26" s="36" t="n">
        <f aca="false">C26-D26</f>
        <v>-99149.4782608696</v>
      </c>
      <c r="F26" s="42" t="n">
        <f aca="false">IF(C26=0,0,E26/C26)</f>
        <v>-0.031019108453532</v>
      </c>
      <c r="G26" s="36" t="n">
        <f aca="false">E26-MAX(0,E26-Premissas!$D$52*(1-Premissas!$C$35)/10)*Premissas!$B$11-(Premissas!$D$52*(Premissas!$D$84+Premissas!$D$85/10)+(Premissas!$D$80+Premissas!$D$81+Premissas!$D$82+Premissas!$D$83)/10)</f>
        <v>-571609.47826087</v>
      </c>
      <c r="H26" s="42" t="n">
        <f aca="false">IFERROR(RATE(10,G26,-Premissas!$D$52,Premissas!$D$52*Premissas!$C$35),"&lt; -10%")</f>
        <v>-0.0821013508236365</v>
      </c>
      <c r="I26" s="36" t="n">
        <f aca="false">(D26+((Premissas!$D$52-Premissas!$D$52*Premissas!$C$35/(1+Premissas!$B$10)^10)*(Premissas!$B$10/(1-(1+Premissas!$B$10)^-10))+(Premissas!$D$52*(Premissas!$D$84+Premissas!$D$85/10)+(Premissas!$D$80+Premissas!$D$81+Premissas!$D$82+Premissas!$D$83)/10)))/B26</f>
        <v>393192.45194536</v>
      </c>
      <c r="J26" s="36" t="n">
        <f aca="false">Premissas!$D$77*Premissas!$C$32</f>
        <v>170000</v>
      </c>
      <c r="K26" s="3"/>
      <c r="L26" s="3"/>
    </row>
    <row r="27" customFormat="false" ht="15" hidden="false" customHeight="false" outlineLevel="0" collapsed="false">
      <c r="A27" s="3" t="s">
        <v>466</v>
      </c>
      <c r="B27" s="38" t="n">
        <v>25</v>
      </c>
      <c r="C27" s="36" t="n">
        <f aca="false">MIN(B27,Premissas!$C$30)*Premissas!$D$77*Premissas!$C$32+(B27-MIN(B27,Premissas!$C$30)-MIN(B27-MIN(B27,Premissas!$C$30),Premissas!$C$31))*Premissas!$D$77*Premissas!$C$32*(1-Premissas!$B$12)+MIN(B27-MIN(B27,Premissas!$C$30),Premissas!$C$31)*Premissas!$D$44*Premissas!$C$38*Premissas!$D$78*Premissas!$C$32*(1-Premissas!$B$12)+B27*Premissas!$D$44*Premissas!$B$14*Premissas!$B$13</f>
        <v>3951300</v>
      </c>
      <c r="D27" s="36" t="n">
        <f aca="false">B27*(Premissas!$D$70*Premissas!$C$34/Premissas!$B$6+Premissas!$D$75)*Premissas!$C$33+Premissas!$D$68*Premissas!$C$33</f>
        <v>3487190.34782609</v>
      </c>
      <c r="E27" s="36" t="n">
        <f aca="false">C27-D27</f>
        <v>464109.652173913</v>
      </c>
      <c r="F27" s="42" t="n">
        <f aca="false">IF(C27=0,0,E27/C27)</f>
        <v>0.117457457589632</v>
      </c>
      <c r="G27" s="36" t="n">
        <f aca="false">E27-MAX(0,E27-Premissas!$D$52*(1-Premissas!$C$35)/10)*Premissas!$B$11-(Premissas!$D$52*(Premissas!$D$84+Premissas!$D$85/10)+(Premissas!$D$80+Premissas!$D$81+Premissas!$D$82+Premissas!$D$83)/10)</f>
        <v>-8350.34782608697</v>
      </c>
      <c r="H27" s="42" t="n">
        <f aca="false">IFERROR(RATE(10,G27,-Premissas!$D$52,Premissas!$D$52*Premissas!$C$35),"&lt; -10%")</f>
        <v>-0.0583790118972194</v>
      </c>
      <c r="I27" s="36" t="n">
        <f aca="false">(D27+((Premissas!$D$52-Premissas!$D$52*Premissas!$C$35/(1+Premissas!$B$10)^10)*(Premissas!$B$10/(1-(1+Premissas!$B$10)^-10))+(Premissas!$D$52*(Premissas!$D$84+Premissas!$D$85/10)+(Premissas!$D$80+Premissas!$D$81+Premissas!$D$82+Premissas!$D$83)/10)))/B27</f>
        <v>322219.596338897</v>
      </c>
      <c r="J27" s="36" t="n">
        <f aca="false">Premissas!$D$77*Premissas!$C$32</f>
        <v>170000</v>
      </c>
      <c r="K27" s="3"/>
      <c r="L27" s="3"/>
    </row>
    <row r="28" customFormat="false" ht="15" hidden="false" customHeight="false" outlineLevel="0" collapsed="false">
      <c r="A28" s="3" t="s">
        <v>467</v>
      </c>
      <c r="B28" s="38" t="n">
        <v>30</v>
      </c>
      <c r="C28" s="36" t="n">
        <f aca="false">MIN(B28,Premissas!$C$30)*Premissas!$D$77*Premissas!$C$32+(B28-MIN(B28,Premissas!$C$30)-MIN(B28-MIN(B28,Premissas!$C$30),Premissas!$C$31))*Premissas!$D$77*Premissas!$C$32*(1-Premissas!$B$12)+MIN(B28-MIN(B28,Premissas!$C$30),Premissas!$C$31)*Premissas!$D$44*Premissas!$C$38*Premissas!$D$78*Premissas!$C$32*(1-Premissas!$B$12)+B28*Premissas!$D$44*Premissas!$B$14*Premissas!$B$13</f>
        <v>4706200</v>
      </c>
      <c r="D28" s="36" t="n">
        <f aca="false">B28*(Premissas!$D$70*Premissas!$C$34/Premissas!$B$6+Premissas!$D$75)*Premissas!$C$33+Premissas!$D$68*Premissas!$C$33</f>
        <v>3678831.2173913</v>
      </c>
      <c r="E28" s="36" t="n">
        <f aca="false">C28-D28</f>
        <v>1027368.7826087</v>
      </c>
      <c r="F28" s="42" t="n">
        <f aca="false">IF(C28=0,0,E28/C28)</f>
        <v>0.218301130978007</v>
      </c>
      <c r="G28" s="36" t="n">
        <f aca="false">E28-MAX(0,E28-Premissas!$D$52*(1-Premissas!$C$35)/10)*Premissas!$B$11-(Premissas!$D$52*(Premissas!$D$84+Premissas!$D$85/10)+(Premissas!$D$80+Premissas!$D$81+Premissas!$D$82+Premissas!$D$83)/10)</f>
        <v>554908.782608695</v>
      </c>
      <c r="H28" s="42" t="n">
        <f aca="false">IFERROR(RATE(10,G28,-Premissas!$D$52,Premissas!$D$52*Premissas!$C$35),"&lt; -10%")</f>
        <v>-0.0352282848752319</v>
      </c>
      <c r="I28" s="36" t="n">
        <f aca="false">(D28+((Premissas!$D$52-Premissas!$D$52*Premissas!$C$35/(1+Premissas!$B$10)^10)*(Premissas!$B$10/(1-(1+Premissas!$B$10)^-10))+(Premissas!$D$52*(Premissas!$D$84+Premissas!$D$85/10)+(Premissas!$D$80+Premissas!$D$81+Premissas!$D$82+Premissas!$D$83)/10)))/B28</f>
        <v>274904.359267921</v>
      </c>
      <c r="J28" s="36" t="n">
        <f aca="false">Premissas!$D$77*Premissas!$C$32</f>
        <v>170000</v>
      </c>
      <c r="K28" s="3"/>
      <c r="L28" s="3"/>
    </row>
    <row r="29" customFormat="false" ht="15" hidden="false" customHeight="false" outlineLevel="0" collapsed="false">
      <c r="A29" s="3" t="s">
        <v>468</v>
      </c>
      <c r="B29" s="38" t="n">
        <v>35</v>
      </c>
      <c r="C29" s="36" t="n">
        <f aca="false">MIN(B29,Premissas!$C$30)*Premissas!$D$77*Premissas!$C$32+(B29-MIN(B29,Premissas!$C$30)-MIN(B29-MIN(B29,Premissas!$C$30),Premissas!$C$31))*Premissas!$D$77*Premissas!$C$32*(1-Premissas!$B$12)+MIN(B29-MIN(B29,Premissas!$C$30),Premissas!$C$31)*Premissas!$D$44*Premissas!$C$38*Premissas!$D$78*Premissas!$C$32*(1-Premissas!$B$12)+B29*Premissas!$D$44*Premissas!$B$14*Premissas!$B$13</f>
        <v>5461100</v>
      </c>
      <c r="D29" s="36" t="n">
        <f aca="false">B29*(Premissas!$D$70*Premissas!$C$34/Premissas!$B$6+Premissas!$D$75)*Premissas!$C$33+Premissas!$D$68*Premissas!$C$33</f>
        <v>3870472.08695652</v>
      </c>
      <c r="E29" s="36" t="n">
        <f aca="false">C29-D29</f>
        <v>1590627.91304348</v>
      </c>
      <c r="F29" s="42" t="n">
        <f aca="false">IF(C29=0,0,E29/C29)</f>
        <v>0.291265113812873</v>
      </c>
      <c r="G29" s="36" t="n">
        <f aca="false">E29-MAX(0,E29-Premissas!$D$52*(1-Premissas!$C$35)/10)*Premissas!$B$11-(Premissas!$D$52*(Premissas!$D$84+Premissas!$D$85/10)+(Premissas!$D$80+Premissas!$D$81+Premissas!$D$82+Premissas!$D$83)/10)</f>
        <v>1066036.4226087</v>
      </c>
      <c r="H29" s="42" t="n">
        <f aca="false">IFERROR(RATE(10,G29,-Premissas!$D$52,Premissas!$D$52*Premissas!$C$35),"&lt; -10%")</f>
        <v>-0.0146762492013682</v>
      </c>
      <c r="I29" s="36" t="n">
        <f aca="false">(D29+((Premissas!$D$52-Premissas!$D$52*Premissas!$C$35/(1+Premissas!$B$10)^10)*(Premissas!$B$10/(1-(1+Premissas!$B$10)^-10))+(Premissas!$D$52*(Premissas!$D$84+Premissas!$D$85/10)+(Premissas!$D$80+Premissas!$D$81+Premissas!$D$82+Premissas!$D$83)/10)))/B29</f>
        <v>241107.761360082</v>
      </c>
      <c r="J29" s="36" t="n">
        <f aca="false">Premissas!$D$77*Premissas!$C$32</f>
        <v>170000</v>
      </c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7" t="s">
        <v>61</v>
      </c>
      <c r="B31" s="8"/>
      <c r="C31" s="8"/>
      <c r="D31" s="8"/>
      <c r="E31" s="8"/>
      <c r="F31" s="8"/>
      <c r="G31" s="8"/>
      <c r="H31" s="8"/>
      <c r="I31" s="8"/>
      <c r="J31" s="8"/>
      <c r="K31" s="3"/>
      <c r="L31" s="3"/>
    </row>
    <row r="32" customFormat="false" ht="15" hidden="false" customHeight="false" outlineLevel="0" collapsed="false">
      <c r="A32" s="14" t="s">
        <v>455</v>
      </c>
      <c r="B32" s="14" t="s">
        <v>456</v>
      </c>
      <c r="C32" s="14" t="s">
        <v>246</v>
      </c>
      <c r="D32" s="14" t="s">
        <v>457</v>
      </c>
      <c r="E32" s="14" t="s">
        <v>412</v>
      </c>
      <c r="F32" s="14" t="s">
        <v>458</v>
      </c>
      <c r="G32" s="14" t="s">
        <v>459</v>
      </c>
      <c r="H32" s="14" t="s">
        <v>460</v>
      </c>
      <c r="I32" s="14" t="s">
        <v>461</v>
      </c>
      <c r="J32" s="14" t="s">
        <v>462</v>
      </c>
      <c r="K32" s="3"/>
      <c r="L32" s="3"/>
    </row>
    <row r="33" customFormat="false" ht="15" hidden="false" customHeight="false" outlineLevel="0" collapsed="false">
      <c r="A33" s="3" t="s">
        <v>463</v>
      </c>
      <c r="B33" s="38" t="n">
        <v>10</v>
      </c>
      <c r="C33" s="36" t="n">
        <f aca="false">MIN(B33,Premissas!$C$30)*Premissas!$E$77*Premissas!$C$32+(B33-MIN(B33,Premissas!$C$30)-MIN(B33-MIN(B33,Premissas!$C$30),Premissas!$C$31))*Premissas!$E$77*Premissas!$C$32*(1-Premissas!$B$12)+MIN(B33-MIN(B33,Premissas!$C$30),Premissas!$C$31)*Premissas!$E$44*Premissas!$C$38*Premissas!$E$78*Premissas!$C$32*(1-Premissas!$B$12)+B33*Premissas!$E$44*Premissas!$B$14*Premissas!$B$13</f>
        <v>1509600</v>
      </c>
      <c r="D33" s="36" t="n">
        <f aca="false">B33*(Premissas!$E$70*Premissas!$C$34/Premissas!$B$6+Premissas!$E$75)*Premissas!$C$33+Premissas!$E$68*Premissas!$C$33</f>
        <v>2886547.73913044</v>
      </c>
      <c r="E33" s="36" t="n">
        <f aca="false">C33-D33</f>
        <v>-1376947.73913044</v>
      </c>
      <c r="F33" s="42" t="n">
        <f aca="false">IF(C33=0,0,E33/C33)</f>
        <v>-0.912127543144167</v>
      </c>
      <c r="G33" s="36" t="n">
        <f aca="false">E33-MAX(0,E33-Premissas!$E$52*(1-Premissas!$C$36)/10)*Premissas!$B$11-(Premissas!$E$52*(Premissas!$E$84+Premissas!$E$85/10)+(Premissas!$E$80+Premissas!$E$81+Premissas!$E$82+Premissas!$E$83)/10)</f>
        <v>-1760347.73913044</v>
      </c>
      <c r="H33" s="42" t="n">
        <f aca="false">IFERROR(RATE(10,G33,-Premissas!$E$52,Premissas!$E$52*Premissas!$C$36),"&lt; -10%")</f>
        <v>-0.337714371092882</v>
      </c>
      <c r="I33" s="36" t="n">
        <f aca="false">(D33+((Premissas!$E$52-Premissas!$E$52*Premissas!$C$36/(1+Premissas!$B$10)^10)*(Premissas!$B$10/(1-(1+Premissas!$B$10)^-10))+(Premissas!$E$52*(Premissas!$E$84+Premissas!$E$85/10)+(Premissas!$E$80+Premissas!$E$81+Premissas!$E$82+Premissas!$E$83)/10)))/B33</f>
        <v>466249.833200775</v>
      </c>
      <c r="J33" s="36" t="n">
        <f aca="false">Premissas!$E$77*Premissas!$C$32</f>
        <v>150000</v>
      </c>
      <c r="K33" s="3"/>
      <c r="L33" s="3"/>
    </row>
    <row r="34" customFormat="false" ht="15" hidden="false" customHeight="false" outlineLevel="0" collapsed="false">
      <c r="A34" s="3" t="s">
        <v>464</v>
      </c>
      <c r="B34" s="38" t="n">
        <v>15</v>
      </c>
      <c r="C34" s="36" t="n">
        <f aca="false">MIN(B34,Premissas!$C$30)*Premissas!$E$77*Premissas!$C$32+(B34-MIN(B34,Premissas!$C$30)-MIN(B34-MIN(B34,Premissas!$C$30),Premissas!$C$31))*Premissas!$E$77*Premissas!$C$32*(1-Premissas!$B$12)+MIN(B34-MIN(B34,Premissas!$C$30),Premissas!$C$31)*Premissas!$E$44*Premissas!$C$38*Premissas!$E$78*Premissas!$C$32*(1-Premissas!$B$12)+B34*Premissas!$E$44*Premissas!$B$14*Premissas!$B$13</f>
        <v>2169300</v>
      </c>
      <c r="D34" s="36" t="n">
        <f aca="false">B34*(Premissas!$E$70*Premissas!$C$34/Premissas!$B$6+Premissas!$E$75)*Premissas!$C$33+Premissas!$E$68*Premissas!$C$33</f>
        <v>3078188.60869565</v>
      </c>
      <c r="E34" s="36" t="n">
        <f aca="false">C34-D34</f>
        <v>-908888.608695652</v>
      </c>
      <c r="F34" s="42" t="n">
        <f aca="false">IF(C34=0,0,E34/C34)</f>
        <v>-0.418977830957291</v>
      </c>
      <c r="G34" s="36" t="n">
        <f aca="false">E34-MAX(0,E34-Premissas!$E$52*(1-Premissas!$C$36)/10)*Premissas!$B$11-(Premissas!$E$52*(Premissas!$E$84+Premissas!$E$85/10)+(Premissas!$E$80+Premissas!$E$81+Premissas!$E$82+Premissas!$E$83)/10)</f>
        <v>-1292288.60869565</v>
      </c>
      <c r="H34" s="42" t="n">
        <f aca="false">IFERROR(RATE(10,G34,-Premissas!$E$52,Premissas!$E$52*Premissas!$C$36),"&lt; -10%")</f>
        <v>-0.257627782217296</v>
      </c>
      <c r="I34" s="36" t="n">
        <f aca="false">(D34+((Premissas!$E$52-Premissas!$E$52*Premissas!$C$36/(1+Premissas!$B$10)^10)*(Premissas!$B$10/(1-(1+Premissas!$B$10)^-10))+(Premissas!$E$52*(Premissas!$E$84+Premissas!$E$85/10)+(Premissas!$E$80+Premissas!$E$81+Premissas!$E$82+Premissas!$E$83)/10)))/B34</f>
        <v>323609.280104864</v>
      </c>
      <c r="J34" s="36" t="n">
        <f aca="false">Premissas!$E$77*Premissas!$C$32</f>
        <v>150000</v>
      </c>
      <c r="K34" s="3"/>
      <c r="L34" s="3"/>
    </row>
    <row r="35" customFormat="false" ht="15" hidden="false" customHeight="false" outlineLevel="0" collapsed="false">
      <c r="A35" s="3" t="s">
        <v>465</v>
      </c>
      <c r="B35" s="38" t="n">
        <v>20</v>
      </c>
      <c r="C35" s="36" t="n">
        <f aca="false">MIN(B35,Premissas!$C$30)*Premissas!$E$77*Premissas!$C$32+(B35-MIN(B35,Premissas!$C$30)-MIN(B35-MIN(B35,Premissas!$C$30),Premissas!$C$31))*Premissas!$E$77*Premissas!$C$32*(1-Premissas!$B$12)+MIN(B35-MIN(B35,Premissas!$C$30),Premissas!$C$31)*Premissas!$E$44*Premissas!$C$38*Premissas!$E$78*Premissas!$C$32*(1-Premissas!$B$12)+B35*Premissas!$E$44*Premissas!$B$14*Premissas!$B$13</f>
        <v>2839200</v>
      </c>
      <c r="D35" s="36" t="n">
        <f aca="false">B35*(Premissas!$E$70*Premissas!$C$34/Premissas!$B$6+Premissas!$E$75)*Premissas!$C$33+Premissas!$E$68*Premissas!$C$33</f>
        <v>3269829.47826087</v>
      </c>
      <c r="E35" s="36" t="n">
        <f aca="false">C35-D35</f>
        <v>-430629.47826087</v>
      </c>
      <c r="F35" s="42" t="n">
        <f aca="false">IF(C35=0,0,E35/C35)</f>
        <v>-0.151672822717973</v>
      </c>
      <c r="G35" s="36" t="n">
        <f aca="false">E35-MAX(0,E35-Premissas!$E$52*(1-Premissas!$C$36)/10)*Premissas!$B$11-(Premissas!$E$52*(Premissas!$E$84+Premissas!$E$85/10)+(Premissas!$E$80+Premissas!$E$81+Premissas!$E$82+Premissas!$E$83)/10)</f>
        <v>-814029.47826087</v>
      </c>
      <c r="H35" s="42" t="n">
        <f aca="false">IFERROR(RATE(10,G35,-Premissas!$E$52,Premissas!$E$52*Premissas!$C$36),"&lt; -10%")</f>
        <v>-0.181826440467884</v>
      </c>
      <c r="I35" s="36" t="n">
        <f aca="false">(D35+((Premissas!$E$52-Premissas!$E$52*Premissas!$C$36/(1+Premissas!$B$10)^10)*(Premissas!$B$10/(1-(1+Premissas!$B$10)^-10))+(Premissas!$E$52*(Premissas!$E$84+Premissas!$E$85/10)+(Premissas!$E$80+Premissas!$E$81+Premissas!$E$82+Premissas!$E$83)/10)))/B35</f>
        <v>252289.003556909</v>
      </c>
      <c r="J35" s="36" t="n">
        <f aca="false">Premissas!$E$77*Premissas!$C$32</f>
        <v>150000</v>
      </c>
      <c r="K35" s="3"/>
      <c r="L35" s="3"/>
    </row>
    <row r="36" customFormat="false" ht="15" hidden="false" customHeight="false" outlineLevel="0" collapsed="false">
      <c r="A36" s="3" t="s">
        <v>466</v>
      </c>
      <c r="B36" s="38" t="n">
        <v>25</v>
      </c>
      <c r="C36" s="36" t="n">
        <f aca="false">MIN(B36,Premissas!$C$30)*Premissas!$E$77*Premissas!$C$32+(B36-MIN(B36,Premissas!$C$30)-MIN(B36-MIN(B36,Premissas!$C$30),Premissas!$C$31))*Premissas!$E$77*Premissas!$C$32*(1-Premissas!$B$12)+MIN(B36-MIN(B36,Premissas!$C$30),Premissas!$C$31)*Premissas!$E$44*Premissas!$C$38*Premissas!$E$78*Premissas!$C$32*(1-Premissas!$B$12)+B36*Premissas!$E$44*Premissas!$B$14*Premissas!$B$13</f>
        <v>3509100</v>
      </c>
      <c r="D36" s="36" t="n">
        <f aca="false">B36*(Premissas!$E$70*Premissas!$C$34/Premissas!$B$6+Premissas!$E$75)*Premissas!$C$33+Premissas!$E$68*Premissas!$C$33</f>
        <v>3461470.34782609</v>
      </c>
      <c r="E36" s="36" t="n">
        <f aca="false">C36-D36</f>
        <v>47629.6521739131</v>
      </c>
      <c r="F36" s="42" t="n">
        <f aca="false">IF(C36=0,0,E36/C36)</f>
        <v>0.0135731817770691</v>
      </c>
      <c r="G36" s="36" t="n">
        <f aca="false">E36-MAX(0,E36-Premissas!$E$52*(1-Premissas!$C$36)/10)*Premissas!$B$11-(Premissas!$E$52*(Premissas!$E$84+Premissas!$E$85/10)+(Premissas!$E$80+Premissas!$E$81+Premissas!$E$82+Premissas!$E$83)/10)</f>
        <v>-335770.347826087</v>
      </c>
      <c r="H36" s="42" t="n">
        <f aca="false">IFERROR(RATE(10,G36,-Premissas!$E$52,Premissas!$E$52*Premissas!$C$36),"&lt; -10%")</f>
        <v>-0.112350995603556</v>
      </c>
      <c r="I36" s="36" t="n">
        <f aca="false">(D36+((Premissas!$E$52-Premissas!$E$52*Premissas!$C$36/(1+Premissas!$B$10)^10)*(Premissas!$B$10/(1-(1+Premissas!$B$10)^-10))+(Premissas!$E$52*(Premissas!$E$84+Premissas!$E$85/10)+(Premissas!$E$80+Premissas!$E$81+Premissas!$E$82+Premissas!$E$83)/10)))/B36</f>
        <v>209496.837628136</v>
      </c>
      <c r="J36" s="36" t="n">
        <f aca="false">Premissas!$E$77*Premissas!$C$32</f>
        <v>150000</v>
      </c>
      <c r="K36" s="3"/>
      <c r="L36" s="3"/>
    </row>
    <row r="37" customFormat="false" ht="15" hidden="false" customHeight="false" outlineLevel="0" collapsed="false">
      <c r="A37" s="3" t="s">
        <v>467</v>
      </c>
      <c r="B37" s="38" t="n">
        <v>30</v>
      </c>
      <c r="C37" s="36" t="n">
        <f aca="false">MIN(B37,Premissas!$C$30)*Premissas!$E$77*Premissas!$C$32+(B37-MIN(B37,Premissas!$C$30)-MIN(B37-MIN(B37,Premissas!$C$30),Premissas!$C$31))*Premissas!$E$77*Premissas!$C$32*(1-Premissas!$B$12)+MIN(B37-MIN(B37,Premissas!$C$30),Premissas!$C$31)*Premissas!$E$44*Premissas!$C$38*Premissas!$E$78*Premissas!$C$32*(1-Premissas!$B$12)+B37*Premissas!$E$44*Premissas!$B$14*Premissas!$B$13</f>
        <v>4179000</v>
      </c>
      <c r="D37" s="36" t="n">
        <f aca="false">B37*(Premissas!$E$70*Premissas!$C$34/Premissas!$B$6+Premissas!$E$75)*Premissas!$C$33+Premissas!$E$68*Premissas!$C$33</f>
        <v>3653111.2173913</v>
      </c>
      <c r="E37" s="36" t="n">
        <f aca="false">C37-D37</f>
        <v>525888.782608695</v>
      </c>
      <c r="F37" s="42" t="n">
        <f aca="false">IF(C37=0,0,E37/C37)</f>
        <v>0.125840819001841</v>
      </c>
      <c r="G37" s="36" t="n">
        <f aca="false">E37-MAX(0,E37-Premissas!$E$52*(1-Premissas!$C$36)/10)*Premissas!$B$11-(Premissas!$E$52*(Premissas!$E$84+Premissas!$E$85/10)+(Premissas!$E$80+Premissas!$E$81+Premissas!$E$82+Premissas!$E$83)/10)</f>
        <v>142488.782608695</v>
      </c>
      <c r="H37" s="42" t="n">
        <f aca="false">IFERROR(RATE(10,G37,-Premissas!$E$52,Premissas!$E$52*Premissas!$C$36),"&lt; -10%")</f>
        <v>-0.0484464055689383</v>
      </c>
      <c r="I37" s="36" t="n">
        <f aca="false">(D37+((Premissas!$E$52-Premissas!$E$52*Premissas!$C$36/(1+Premissas!$B$10)^10)*(Premissas!$B$10/(1-(1+Premissas!$B$10)^-10))+(Premissas!$E$52*(Premissas!$E$84+Premissas!$E$85/10)+(Premissas!$E$80+Premissas!$E$81+Premissas!$E$82+Premissas!$E$83)/10)))/B37</f>
        <v>180968.727008954</v>
      </c>
      <c r="J37" s="36" t="n">
        <f aca="false">Premissas!$E$77*Premissas!$C$32</f>
        <v>150000</v>
      </c>
      <c r="K37" s="3"/>
      <c r="L37" s="3"/>
    </row>
    <row r="38" customFormat="false" ht="15" hidden="false" customHeight="false" outlineLevel="0" collapsed="false">
      <c r="A38" s="3" t="s">
        <v>468</v>
      </c>
      <c r="B38" s="38" t="n">
        <v>35</v>
      </c>
      <c r="C38" s="36" t="n">
        <f aca="false">MIN(B38,Premissas!$C$30)*Premissas!$E$77*Premissas!$C$32+(B38-MIN(B38,Premissas!$C$30)-MIN(B38-MIN(B38,Premissas!$C$30),Premissas!$C$31))*Premissas!$E$77*Premissas!$C$32*(1-Premissas!$B$12)+MIN(B38-MIN(B38,Premissas!$C$30),Premissas!$C$31)*Premissas!$E$44*Premissas!$C$38*Premissas!$E$78*Premissas!$C$32*(1-Premissas!$B$12)+B38*Premissas!$E$44*Premissas!$B$14*Premissas!$B$13</f>
        <v>4848900</v>
      </c>
      <c r="D38" s="36" t="n">
        <f aca="false">B38*(Premissas!$E$70*Premissas!$C$34/Premissas!$B$6+Premissas!$E$75)*Premissas!$C$33+Premissas!$E$68*Premissas!$C$33</f>
        <v>3844752.08695652</v>
      </c>
      <c r="E38" s="36" t="n">
        <f aca="false">C38-D38</f>
        <v>1004147.91304348</v>
      </c>
      <c r="F38" s="42" t="n">
        <f aca="false">IF(C38=0,0,E38/C38)</f>
        <v>0.207087775174468</v>
      </c>
      <c r="G38" s="36" t="n">
        <f aca="false">E38-MAX(0,E38-Premissas!$E$52*(1-Premissas!$C$36)/10)*Premissas!$B$11-(Premissas!$E$52*(Premissas!$E$84+Premissas!$E$85/10)+(Premissas!$E$80+Premissas!$E$81+Premissas!$E$82+Premissas!$E$83)/10)</f>
        <v>459537.622608696</v>
      </c>
      <c r="H38" s="42" t="n">
        <f aca="false">IFERROR(RATE(10,G38,-Premissas!$E$52,Premissas!$E$52*Premissas!$C$36),"&lt; -10%")</f>
        <v>-0.00861697027936803</v>
      </c>
      <c r="I38" s="36" t="n">
        <f aca="false">(D38+((Premissas!$E$52-Premissas!$E$52*Premissas!$C$36/(1+Premissas!$B$10)^10)*(Premissas!$B$10/(1-(1+Premissas!$B$10)^-10))+(Premissas!$E$52*(Premissas!$E$84+Premissas!$E$85/10)+(Premissas!$E$80+Premissas!$E$81+Premissas!$E$82+Premissas!$E$83)/10)))/B38</f>
        <v>160591.50513811</v>
      </c>
      <c r="J38" s="36" t="n">
        <f aca="false">Premissas!$E$77*Premissas!$C$32</f>
        <v>150000</v>
      </c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7" t="s">
        <v>62</v>
      </c>
      <c r="B40" s="8"/>
      <c r="C40" s="8"/>
      <c r="D40" s="8"/>
      <c r="E40" s="8"/>
      <c r="F40" s="8"/>
      <c r="G40" s="8"/>
      <c r="H40" s="8"/>
      <c r="I40" s="8"/>
      <c r="J40" s="8"/>
      <c r="K40" s="3"/>
      <c r="L40" s="3"/>
    </row>
    <row r="41" customFormat="false" ht="15" hidden="false" customHeight="false" outlineLevel="0" collapsed="false">
      <c r="A41" s="14" t="s">
        <v>455</v>
      </c>
      <c r="B41" s="14" t="s">
        <v>456</v>
      </c>
      <c r="C41" s="14" t="s">
        <v>246</v>
      </c>
      <c r="D41" s="14" t="s">
        <v>457</v>
      </c>
      <c r="E41" s="14" t="s">
        <v>412</v>
      </c>
      <c r="F41" s="14" t="s">
        <v>458</v>
      </c>
      <c r="G41" s="14" t="s">
        <v>459</v>
      </c>
      <c r="H41" s="14" t="s">
        <v>460</v>
      </c>
      <c r="I41" s="14" t="s">
        <v>461</v>
      </c>
      <c r="J41" s="14" t="s">
        <v>462</v>
      </c>
      <c r="K41" s="3"/>
      <c r="L41" s="3"/>
    </row>
    <row r="42" customFormat="false" ht="15" hidden="false" customHeight="false" outlineLevel="0" collapsed="false">
      <c r="A42" s="3" t="s">
        <v>463</v>
      </c>
      <c r="B42" s="38" t="n">
        <v>10</v>
      </c>
      <c r="C42" s="36" t="n">
        <f aca="false">MIN(B42,Premissas!$C$30)*Premissas!$F$77*Premissas!$C$32+(B42-MIN(B42,Premissas!$C$30)-MIN(B42-MIN(B42,Premissas!$C$30),Premissas!$C$31))*Premissas!$F$77*Premissas!$C$32*(1-Premissas!$B$12)+MIN(B42-MIN(B42,Premissas!$C$30),Premissas!$C$31)*Premissas!$F$44*Premissas!$C$38*Premissas!$F$78*Premissas!$C$32*(1-Premissas!$B$12)+B42*Premissas!$F$44*Premissas!$B$14*Premissas!$B$13</f>
        <v>1228200</v>
      </c>
      <c r="D42" s="36" t="n">
        <f aca="false">B42*(Premissas!$F$70*Premissas!$C$34/Premissas!$B$6+Premissas!$F$75)*Premissas!$C$33+Premissas!$F$68*Premissas!$C$33</f>
        <v>2519884.43478261</v>
      </c>
      <c r="E42" s="36" t="n">
        <f aca="false">C42-D42</f>
        <v>-1291684.43478261</v>
      </c>
      <c r="F42" s="42" t="n">
        <f aca="false">IF(C42=0,0,E42/C42)</f>
        <v>-1.05168900405684</v>
      </c>
      <c r="G42" s="36" t="n">
        <f aca="false">E42-MAX(0,E42-Premissas!$F$52*(1-Premissas!$C$35)/10)*Premissas!$B$11-(Premissas!$F$52*(Premissas!$F$84+Premissas!$F$85/10)+(Premissas!$F$80+Premissas!$F$81+Premissas!$F$82+Premissas!$F$83)/10)</f>
        <v>-1695014.43478261</v>
      </c>
      <c r="H42" s="42" t="n">
        <f aca="false">IFERROR(RATE(10,G42,-Premissas!$F$52,Premissas!$F$52*Premissas!$C$35),"&lt; -10%")</f>
        <v>-0.144119401679272</v>
      </c>
      <c r="I42" s="36" t="n">
        <f aca="false">(D42+((Premissas!$F$52-Premissas!$F$52*Premissas!$C$35/(1+Premissas!$B$10)^10)*(Premissas!$B$10/(1-(1+Premissas!$B$10)^-10))+(Premissas!$F$52*(Premissas!$F$84+Premissas!$F$85/10)+(Premissas!$F$80+Premissas!$F$81+Premissas!$F$82+Premissas!$F$83)/10)))/B42</f>
        <v>643301.809085306</v>
      </c>
      <c r="J42" s="36" t="n">
        <f aca="false">Premissas!$F$77*Premissas!$C$32</f>
        <v>120000</v>
      </c>
      <c r="K42" s="3"/>
      <c r="L42" s="3"/>
    </row>
    <row r="43" customFormat="false" ht="15" hidden="false" customHeight="false" outlineLevel="0" collapsed="false">
      <c r="A43" s="3" t="s">
        <v>464</v>
      </c>
      <c r="B43" s="38" t="n">
        <v>15</v>
      </c>
      <c r="C43" s="36" t="n">
        <f aca="false">MIN(B43,Premissas!$C$30)*Premissas!$F$77*Premissas!$C$32+(B43-MIN(B43,Premissas!$C$30)-MIN(B43-MIN(B43,Premissas!$C$30),Premissas!$C$31))*Premissas!$F$77*Premissas!$C$32*(1-Premissas!$B$12)+MIN(B43-MIN(B43,Premissas!$C$30),Premissas!$C$31)*Premissas!$F$44*Premissas!$C$38*Premissas!$F$78*Premissas!$C$32*(1-Premissas!$B$12)+B43*Premissas!$F$44*Premissas!$B$14*Premissas!$B$13</f>
        <v>1775400</v>
      </c>
      <c r="D43" s="36" t="n">
        <f aca="false">B43*(Premissas!$F$70*Premissas!$C$34/Premissas!$B$6+Premissas!$F$75)*Premissas!$C$33+Premissas!$F$68*Premissas!$C$33</f>
        <v>2684084.65217391</v>
      </c>
      <c r="E43" s="36" t="n">
        <f aca="false">C43-D43</f>
        <v>-908684.652173913</v>
      </c>
      <c r="F43" s="42" t="n">
        <f aca="false">IF(C43=0,0,E43/C43)</f>
        <v>-0.511819675664027</v>
      </c>
      <c r="G43" s="36" t="n">
        <f aca="false">E43-MAX(0,E43-Premissas!$F$52*(1-Premissas!$C$35)/10)*Premissas!$B$11-(Premissas!$F$52*(Premissas!$F$84+Premissas!$F$85/10)+(Premissas!$F$80+Premissas!$F$81+Premissas!$F$82+Premissas!$F$83)/10)</f>
        <v>-1312014.65217391</v>
      </c>
      <c r="H43" s="42" t="n">
        <f aca="false">IFERROR(RATE(10,G43,-Premissas!$F$52,Premissas!$F$52*Premissas!$C$35),"&lt; -10%")</f>
        <v>-0.123954595578822</v>
      </c>
      <c r="I43" s="36" t="n">
        <f aca="false">(D43+((Premissas!$F$52-Premissas!$F$52*Premissas!$C$35/(1+Premissas!$B$10)^10)*(Premissas!$B$10/(1-(1+Premissas!$B$10)^-10))+(Premissas!$F$52*(Premissas!$F$84+Premissas!$F$85/10)+(Premissas!$F$80+Premissas!$F$81+Premissas!$F$82+Premissas!$F$83)/10)))/B43</f>
        <v>439814.553882958</v>
      </c>
      <c r="J43" s="36" t="n">
        <f aca="false">Premissas!$F$77*Premissas!$C$32</f>
        <v>120000</v>
      </c>
      <c r="K43" s="3"/>
      <c r="L43" s="3"/>
    </row>
    <row r="44" customFormat="false" ht="15" hidden="false" customHeight="false" outlineLevel="0" collapsed="false">
      <c r="A44" s="3" t="s">
        <v>465</v>
      </c>
      <c r="B44" s="38" t="n">
        <v>20</v>
      </c>
      <c r="C44" s="36" t="n">
        <f aca="false">MIN(B44,Premissas!$C$30)*Premissas!$F$77*Premissas!$C$32+(B44-MIN(B44,Premissas!$C$30)-MIN(B44-MIN(B44,Premissas!$C$30),Premissas!$C$31))*Premissas!$F$77*Premissas!$C$32*(1-Premissas!$B$12)+MIN(B44-MIN(B44,Premissas!$C$30),Premissas!$C$31)*Premissas!$F$44*Premissas!$C$38*Premissas!$F$78*Premissas!$C$32*(1-Premissas!$B$12)+B44*Premissas!$F$44*Premissas!$B$14*Premissas!$B$13</f>
        <v>2312400</v>
      </c>
      <c r="D44" s="36" t="n">
        <f aca="false">B44*(Premissas!$F$70*Premissas!$C$34/Premissas!$B$6+Premissas!$F$75)*Premissas!$C$33+Premissas!$F$68*Premissas!$C$33</f>
        <v>2848284.86956522</v>
      </c>
      <c r="E44" s="36" t="n">
        <f aca="false">C44-D44</f>
        <v>-535884.869565217</v>
      </c>
      <c r="F44" s="42" t="n">
        <f aca="false">IF(C44=0,0,E44/C44)</f>
        <v>-0.231744019012808</v>
      </c>
      <c r="G44" s="36" t="n">
        <f aca="false">E44-MAX(0,E44-Premissas!$F$52*(1-Premissas!$C$35)/10)*Premissas!$B$11-(Premissas!$F$52*(Premissas!$F$84+Premissas!$F$85/10)+(Premissas!$F$80+Premissas!$F$81+Premissas!$F$82+Premissas!$F$83)/10)</f>
        <v>-939214.869565217</v>
      </c>
      <c r="H44" s="42" t="n">
        <f aca="false">IFERROR(RATE(10,G44,-Premissas!$F$52,Premissas!$F$52*Premissas!$C$35),"&lt; -10%")</f>
        <v>-0.104742008486256</v>
      </c>
      <c r="I44" s="36" t="n">
        <f aca="false">(D44+((Premissas!$F$52-Premissas!$F$52*Premissas!$C$35/(1+Premissas!$B$10)^10)*(Premissas!$B$10/(1-(1+Premissas!$B$10)^-10))+(Premissas!$F$52*(Premissas!$F$84+Premissas!$F$85/10)+(Premissas!$F$80+Premissas!$F$81+Premissas!$F$82+Premissas!$F$83)/10)))/B44</f>
        <v>338070.926281784</v>
      </c>
      <c r="J44" s="36" t="n">
        <f aca="false">Premissas!$F$77*Premissas!$C$32</f>
        <v>120000</v>
      </c>
      <c r="K44" s="3"/>
      <c r="L44" s="3"/>
    </row>
    <row r="45" customFormat="false" ht="15" hidden="false" customHeight="false" outlineLevel="0" collapsed="false">
      <c r="A45" s="3" t="s">
        <v>466</v>
      </c>
      <c r="B45" s="38" t="n">
        <v>25</v>
      </c>
      <c r="C45" s="36" t="n">
        <f aca="false">MIN(B45,Premissas!$C$30)*Premissas!$F$77*Premissas!$C$32+(B45-MIN(B45,Premissas!$C$30)-MIN(B45-MIN(B45,Premissas!$C$30),Premissas!$C$31))*Premissas!$F$77*Premissas!$C$32*(1-Premissas!$B$12)+MIN(B45-MIN(B45,Premissas!$C$30),Premissas!$C$31)*Premissas!$F$44*Premissas!$C$38*Premissas!$F$78*Premissas!$C$32*(1-Premissas!$B$12)+B45*Premissas!$F$44*Premissas!$B$14*Premissas!$B$13</f>
        <v>2849400</v>
      </c>
      <c r="D45" s="36" t="n">
        <f aca="false">B45*(Premissas!$F$70*Premissas!$C$34/Premissas!$B$6+Premissas!$F$75)*Premissas!$C$33+Premissas!$F$68*Premissas!$C$33</f>
        <v>3012485.08695652</v>
      </c>
      <c r="E45" s="36" t="n">
        <f aca="false">C45-D45</f>
        <v>-163085.086956522</v>
      </c>
      <c r="F45" s="42" t="n">
        <f aca="false">IF(C45=0,0,E45/C45)</f>
        <v>-0.0572348869784944</v>
      </c>
      <c r="G45" s="36" t="n">
        <f aca="false">E45-MAX(0,E45-Premissas!$F$52*(1-Premissas!$C$35)/10)*Premissas!$B$11-(Premissas!$F$52*(Premissas!$F$84+Premissas!$F$85/10)+(Premissas!$F$80+Premissas!$F$81+Premissas!$F$82+Premissas!$F$83)/10)</f>
        <v>-566415.086956522</v>
      </c>
      <c r="H45" s="42" t="n">
        <f aca="false">IFERROR(RATE(10,G45,-Premissas!$F$52,Premissas!$F$52*Premissas!$C$35),"&lt; -10%")</f>
        <v>-0.0859213029105096</v>
      </c>
      <c r="I45" s="36" t="n">
        <f aca="false">(D45+((Premissas!$F$52-Premissas!$F$52*Premissas!$C$35/(1+Premissas!$B$10)^10)*(Premissas!$B$10/(1-(1+Premissas!$B$10)^-10))+(Premissas!$F$52*(Premissas!$F$84+Premissas!$F$85/10)+(Premissas!$F$80+Premissas!$F$81+Premissas!$F$82+Premissas!$F$83)/10)))/B45</f>
        <v>277024.749721079</v>
      </c>
      <c r="J45" s="36" t="n">
        <f aca="false">Premissas!$F$77*Premissas!$C$32</f>
        <v>120000</v>
      </c>
      <c r="K45" s="3"/>
      <c r="L45" s="3"/>
    </row>
    <row r="46" customFormat="false" ht="15" hidden="false" customHeight="false" outlineLevel="0" collapsed="false">
      <c r="A46" s="3" t="s">
        <v>467</v>
      </c>
      <c r="B46" s="38" t="n">
        <v>30</v>
      </c>
      <c r="C46" s="36" t="n">
        <f aca="false">MIN(B46,Premissas!$C$30)*Premissas!$F$77*Premissas!$C$32+(B46-MIN(B46,Premissas!$C$30)-MIN(B46-MIN(B46,Premissas!$C$30),Premissas!$C$31))*Premissas!$F$77*Premissas!$C$32*(1-Premissas!$B$12)+MIN(B46-MIN(B46,Premissas!$C$30),Premissas!$C$31)*Premissas!$F$44*Premissas!$C$38*Premissas!$F$78*Premissas!$C$32*(1-Premissas!$B$12)+B46*Premissas!$F$44*Premissas!$B$14*Premissas!$B$13</f>
        <v>3386400</v>
      </c>
      <c r="D46" s="36" t="n">
        <f aca="false">B46*(Premissas!$F$70*Premissas!$C$34/Premissas!$B$6+Premissas!$F$75)*Premissas!$C$33+Premissas!$F$68*Premissas!$C$33</f>
        <v>3176685.30434783</v>
      </c>
      <c r="E46" s="36" t="n">
        <f aca="false">C46-D46</f>
        <v>209714.695652174</v>
      </c>
      <c r="F46" s="42" t="n">
        <f aca="false">IF(C46=0,0,E46/C46)</f>
        <v>0.06192850686634</v>
      </c>
      <c r="G46" s="36" t="n">
        <f aca="false">E46-MAX(0,E46-Premissas!$F$52*(1-Premissas!$C$35)/10)*Premissas!$B$11-(Premissas!$F$52*(Premissas!$F$84+Premissas!$F$85/10)+(Premissas!$F$80+Premissas!$F$81+Premissas!$F$82+Premissas!$F$83)/10)</f>
        <v>-193615.304347826</v>
      </c>
      <c r="H46" s="42" t="n">
        <f aca="false">IFERROR(RATE(10,G46,-Premissas!$F$52,Premissas!$F$52*Premissas!$C$35),"&lt; -10%")</f>
        <v>-0.0674729287898354</v>
      </c>
      <c r="I46" s="36" t="n">
        <f aca="false">(D46+((Premissas!$F$52-Premissas!$F$52*Premissas!$C$35/(1+Premissas!$B$10)^10)*(Premissas!$B$10/(1-(1+Premissas!$B$10)^-10))+(Premissas!$F$52*(Premissas!$F$84+Premissas!$F$85/10)+(Premissas!$F$80+Premissas!$F$81+Premissas!$F$82+Premissas!$F$83)/10)))/B46</f>
        <v>236327.298680609</v>
      </c>
      <c r="J46" s="36" t="n">
        <f aca="false">Premissas!$F$77*Premissas!$C$32</f>
        <v>120000</v>
      </c>
      <c r="K46" s="3"/>
      <c r="L46" s="3"/>
    </row>
    <row r="47" customFormat="false" ht="15" hidden="false" customHeight="false" outlineLevel="0" collapsed="false">
      <c r="A47" s="3" t="s">
        <v>468</v>
      </c>
      <c r="B47" s="38" t="n">
        <v>35</v>
      </c>
      <c r="C47" s="36" t="n">
        <f aca="false">MIN(B47,Premissas!$C$30)*Premissas!$F$77*Premissas!$C$32+(B47-MIN(B47,Premissas!$C$30)-MIN(B47-MIN(B47,Premissas!$C$30),Premissas!$C$31))*Premissas!$F$77*Premissas!$C$32*(1-Premissas!$B$12)+MIN(B47-MIN(B47,Premissas!$C$30),Premissas!$C$31)*Premissas!$F$44*Premissas!$C$38*Premissas!$F$78*Premissas!$C$32*(1-Premissas!$B$12)+B47*Premissas!$F$44*Premissas!$B$14*Premissas!$B$13</f>
        <v>3923400</v>
      </c>
      <c r="D47" s="36" t="n">
        <f aca="false">B47*(Premissas!$F$70*Premissas!$C$34/Premissas!$B$6+Premissas!$F$75)*Premissas!$C$33+Premissas!$F$68*Premissas!$C$33</f>
        <v>3340885.52173913</v>
      </c>
      <c r="E47" s="36" t="n">
        <f aca="false">C47-D47</f>
        <v>582514.478260869</v>
      </c>
      <c r="F47" s="42" t="n">
        <f aca="false">IF(C47=0,0,E47/C47)</f>
        <v>0.148471855599956</v>
      </c>
      <c r="G47" s="36" t="n">
        <f aca="false">E47-MAX(0,E47-Premissas!$F$52*(1-Premissas!$C$35)/10)*Premissas!$B$11-(Premissas!$F$52*(Premissas!$F$84+Premissas!$F$85/10)+(Premissas!$F$80+Premissas!$F$81+Premissas!$F$82+Premissas!$F$83)/10)</f>
        <v>179184.478260869</v>
      </c>
      <c r="H47" s="42" t="n">
        <f aca="false">IFERROR(RATE(10,G47,-Premissas!$F$52,Premissas!$F$52*Premissas!$C$35),"&lt; -10%")</f>
        <v>-0.0493761620962434</v>
      </c>
      <c r="I47" s="36" t="n">
        <f aca="false">(D47+((Premissas!$F$52-Premissas!$F$52*Premissas!$C$35/(1+Premissas!$B$10)^10)*(Premissas!$B$10/(1-(1+Premissas!$B$10)^-10))+(Premissas!$F$52*(Premissas!$F$84+Premissas!$F$85/10)+(Premissas!$F$80+Premissas!$F$81+Premissas!$F$82+Premissas!$F$83)/10)))/B47</f>
        <v>207257.69079456</v>
      </c>
      <c r="J47" s="36" t="n">
        <f aca="false">Premissas!$F$77*Premissas!$C$32</f>
        <v>120000</v>
      </c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7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3"/>
      <c r="L49" s="3"/>
    </row>
    <row r="50" customFormat="false" ht="15" hidden="false" customHeight="false" outlineLevel="0" collapsed="false">
      <c r="A50" s="14" t="s">
        <v>455</v>
      </c>
      <c r="B50" s="14" t="s">
        <v>456</v>
      </c>
      <c r="C50" s="14" t="s">
        <v>246</v>
      </c>
      <c r="D50" s="14" t="s">
        <v>457</v>
      </c>
      <c r="E50" s="14" t="s">
        <v>412</v>
      </c>
      <c r="F50" s="14" t="s">
        <v>458</v>
      </c>
      <c r="G50" s="14" t="s">
        <v>459</v>
      </c>
      <c r="H50" s="14" t="s">
        <v>460</v>
      </c>
      <c r="I50" s="14" t="s">
        <v>461</v>
      </c>
      <c r="J50" s="14" t="s">
        <v>462</v>
      </c>
      <c r="K50" s="3"/>
      <c r="L50" s="3"/>
    </row>
    <row r="51" customFormat="false" ht="15" hidden="false" customHeight="false" outlineLevel="0" collapsed="false">
      <c r="A51" s="3" t="s">
        <v>463</v>
      </c>
      <c r="B51" s="38" t="n">
        <v>10</v>
      </c>
      <c r="C51" s="36" t="n">
        <f aca="false">MIN(B51,Premissas!$C$30)*Premissas!$G$77*Premissas!$C$32+(B51-MIN(B51,Premissas!$C$30)-MIN(B51-MIN(B51,Premissas!$C$30),Premissas!$C$31))*Premissas!$G$77*Premissas!$C$32*(1-Premissas!$B$12)+MIN(B51-MIN(B51,Premissas!$C$30),Premissas!$C$31)*Premissas!$G$44*Premissas!$C$38*Premissas!$G$78*Premissas!$C$32*(1-Premissas!$B$12)+B51*Premissas!$G$44*Premissas!$B$14*Premissas!$B$13</f>
        <v>1053840</v>
      </c>
      <c r="D51" s="36" t="n">
        <f aca="false">B51*(Premissas!$G$70*Premissas!$C$34/Premissas!$B$6+Premissas!$G$75)*Premissas!$C$33+Premissas!$G$68*Premissas!$C$33</f>
        <v>2389938.7826087</v>
      </c>
      <c r="E51" s="36" t="n">
        <f aca="false">C51-D51</f>
        <v>-1336098.7826087</v>
      </c>
      <c r="F51" s="42" t="n">
        <f aca="false">IF(C51=0,0,E51/C51)</f>
        <v>-1.2678383650352</v>
      </c>
      <c r="G51" s="36" t="n">
        <f aca="false">E51-MAX(0,E51-Premissas!$G$52*(1-Premissas!$C$36)/10)*Premissas!$B$11-(Premissas!$G$52*(Premissas!$G$84+Premissas!$G$85/10)+(Premissas!$G$80+Premissas!$G$81+Premissas!$G$82+Premissas!$G$83)/10)</f>
        <v>-1646098.7826087</v>
      </c>
      <c r="H51" s="42" t="n">
        <f aca="false">IFERROR(RATE(10,G51,-Premissas!$G$52,Premissas!$G$52*Premissas!$C$36),"&lt; -10%")</f>
        <v>-0.334984154463655</v>
      </c>
      <c r="I51" s="36" t="n">
        <f aca="false">(D51+((Premissas!$G$52-Premissas!$G$52*Premissas!$C$36/(1+Premissas!$B$10)^10)*(Premissas!$B$10/(1-(1+Premissas!$B$10)^-10))+(Premissas!$G$52*(Premissas!$G$84+Premissas!$G$85/10)+(Premissas!$G$80+Premissas!$G$81+Premissas!$G$82+Premissas!$G$83)/10)))/B51</f>
        <v>401366.575702125</v>
      </c>
      <c r="J51" s="36" t="n">
        <f aca="false">Premissas!$G$77*Premissas!$C$32</f>
        <v>105000</v>
      </c>
      <c r="K51" s="3"/>
      <c r="L51" s="3"/>
    </row>
    <row r="52" customFormat="false" ht="15" hidden="false" customHeight="false" outlineLevel="0" collapsed="false">
      <c r="A52" s="3" t="s">
        <v>464</v>
      </c>
      <c r="B52" s="38" t="n">
        <v>15</v>
      </c>
      <c r="C52" s="36" t="n">
        <f aca="false">MIN(B52,Premissas!$C$30)*Premissas!$G$77*Premissas!$C$32+(B52-MIN(B52,Premissas!$C$30)-MIN(B52-MIN(B52,Premissas!$C$30),Premissas!$C$31))*Premissas!$G$77*Premissas!$C$32*(1-Premissas!$B$12)+MIN(B52-MIN(B52,Premissas!$C$30),Premissas!$C$31)*Premissas!$G$44*Premissas!$C$38*Premissas!$G$78*Premissas!$C$32*(1-Premissas!$B$12)+B52*Premissas!$G$44*Premissas!$B$14*Premissas!$B$13</f>
        <v>1511130</v>
      </c>
      <c r="D52" s="36" t="n">
        <f aca="false">B52*(Premissas!$G$70*Premissas!$C$34/Premissas!$B$6+Premissas!$G$75)*Premissas!$C$33+Premissas!$G$68*Premissas!$C$33</f>
        <v>2541146.17391304</v>
      </c>
      <c r="E52" s="36" t="n">
        <f aca="false">C52-D52</f>
        <v>-1030016.17391304</v>
      </c>
      <c r="F52" s="42" t="n">
        <f aca="false">IF(C52=0,0,E52/C52)</f>
        <v>-0.681619830135755</v>
      </c>
      <c r="G52" s="36" t="n">
        <f aca="false">E52-MAX(0,E52-Premissas!$G$52*(1-Premissas!$C$36)/10)*Premissas!$B$11-(Premissas!$G$52*(Premissas!$G$84+Premissas!$G$85/10)+(Premissas!$G$80+Premissas!$G$81+Premissas!$G$82+Premissas!$G$83)/10)</f>
        <v>-1340016.17391304</v>
      </c>
      <c r="H52" s="42" t="n">
        <f aca="false">IFERROR(RATE(10,G52,-Premissas!$G$52,Premissas!$G$52*Premissas!$C$36),"&lt; -10%")</f>
        <v>-0.279011313767414</v>
      </c>
      <c r="I52" s="36" t="n">
        <f aca="false">(D52+((Premissas!$G$52-Premissas!$G$52*Premissas!$C$36/(1+Premissas!$B$10)^10)*(Premissas!$B$10/(1-(1+Premissas!$B$10)^-10))+(Premissas!$G$52*(Premissas!$G$84+Premissas!$G$85/10)+(Premissas!$G$80+Premissas!$G$81+Premissas!$G$82+Premissas!$G$83)/10)))/B52</f>
        <v>277658.209888373</v>
      </c>
      <c r="J52" s="36" t="n">
        <f aca="false">Premissas!$G$77*Premissas!$C$32</f>
        <v>105000</v>
      </c>
      <c r="K52" s="3"/>
      <c r="L52" s="3"/>
    </row>
    <row r="53" customFormat="false" ht="15" hidden="false" customHeight="false" outlineLevel="0" collapsed="false">
      <c r="A53" s="3" t="s">
        <v>465</v>
      </c>
      <c r="B53" s="38" t="n">
        <v>20</v>
      </c>
      <c r="C53" s="36" t="n">
        <f aca="false">MIN(B53,Premissas!$C$30)*Premissas!$G$77*Premissas!$C$32+(B53-MIN(B53,Premissas!$C$30)-MIN(B53-MIN(B53,Premissas!$C$30),Premissas!$C$31))*Premissas!$G$77*Premissas!$C$32*(1-Premissas!$B$12)+MIN(B53-MIN(B53,Premissas!$C$30),Premissas!$C$31)*Premissas!$G$44*Premissas!$C$38*Premissas!$G$78*Premissas!$C$32*(1-Premissas!$B$12)+B53*Premissas!$G$44*Premissas!$B$14*Premissas!$B$13</f>
        <v>1981680</v>
      </c>
      <c r="D53" s="36" t="n">
        <f aca="false">B53*(Premissas!$G$70*Premissas!$C$34/Premissas!$B$6+Premissas!$G$75)*Premissas!$C$33+Premissas!$G$68*Premissas!$C$33</f>
        <v>2692353.56521739</v>
      </c>
      <c r="E53" s="36" t="n">
        <f aca="false">C53-D53</f>
        <v>-710673.565217392</v>
      </c>
      <c r="F53" s="42" t="n">
        <f aca="false">IF(C53=0,0,E53/C53)</f>
        <v>-0.358621757911162</v>
      </c>
      <c r="G53" s="36" t="n">
        <f aca="false">E53-MAX(0,E53-Premissas!$G$52*(1-Premissas!$C$36)/10)*Premissas!$B$11-(Premissas!$G$52*(Premissas!$G$84+Premissas!$G$85/10)+(Premissas!$G$80+Premissas!$G$81+Premissas!$G$82+Premissas!$G$83)/10)</f>
        <v>-1020673.56521739</v>
      </c>
      <c r="H53" s="42" t="n">
        <f aca="false">IFERROR(RATE(10,G53,-Premissas!$G$52,Premissas!$G$52*Premissas!$C$36),"&lt; -10%")</f>
        <v>-0.223490024325856</v>
      </c>
      <c r="I53" s="36" t="n">
        <f aca="false">(D53+((Premissas!$G$52-Premissas!$G$52*Premissas!$C$36/(1+Premissas!$B$10)^10)*(Premissas!$B$10/(1-(1+Premissas!$B$10)^-10))+(Premissas!$G$52*(Premissas!$G$84+Premissas!$G$85/10)+(Premissas!$G$80+Premissas!$G$81+Premissas!$G$82+Premissas!$G$83)/10)))/B53</f>
        <v>215804.026981497</v>
      </c>
      <c r="J53" s="36" t="n">
        <f aca="false">Premissas!$G$77*Premissas!$C$32</f>
        <v>105000</v>
      </c>
      <c r="K53" s="3"/>
      <c r="L53" s="3"/>
    </row>
    <row r="54" customFormat="false" ht="15" hidden="false" customHeight="false" outlineLevel="0" collapsed="false">
      <c r="A54" s="3" t="s">
        <v>466</v>
      </c>
      <c r="B54" s="38" t="n">
        <v>25</v>
      </c>
      <c r="C54" s="36" t="n">
        <f aca="false">MIN(B54,Premissas!$C$30)*Premissas!$G$77*Premissas!$C$32+(B54-MIN(B54,Premissas!$C$30)-MIN(B54-MIN(B54,Premissas!$C$30),Premissas!$C$31))*Premissas!$G$77*Premissas!$C$32*(1-Premissas!$B$12)+MIN(B54-MIN(B54,Premissas!$C$30),Premissas!$C$31)*Premissas!$G$44*Premissas!$C$38*Premissas!$G$78*Premissas!$C$32*(1-Premissas!$B$12)+B54*Premissas!$G$44*Premissas!$B$14*Premissas!$B$13</f>
        <v>2452230</v>
      </c>
      <c r="D54" s="36" t="n">
        <f aca="false">B54*(Premissas!$G$70*Premissas!$C$34/Premissas!$B$6+Premissas!$G$75)*Premissas!$C$33+Premissas!$G$68*Premissas!$C$33</f>
        <v>2843560.95652174</v>
      </c>
      <c r="E54" s="36" t="n">
        <f aca="false">C54-D54</f>
        <v>-391330.956521739</v>
      </c>
      <c r="F54" s="42" t="n">
        <f aca="false">IF(C54=0,0,E54/C54)</f>
        <v>-0.159581669142674</v>
      </c>
      <c r="G54" s="36" t="n">
        <f aca="false">E54-MAX(0,E54-Premissas!$G$52*(1-Premissas!$C$36)/10)*Premissas!$B$11-(Premissas!$G$52*(Premissas!$G$84+Premissas!$G$85/10)+(Premissas!$G$80+Premissas!$G$81+Premissas!$G$82+Premissas!$G$83)/10)</f>
        <v>-701330.956521739</v>
      </c>
      <c r="H54" s="42" t="n">
        <f aca="false">IFERROR(RATE(10,G54,-Premissas!$G$52,Premissas!$G$52*Premissas!$C$36),"&lt; -10%")</f>
        <v>-0.171180181265262</v>
      </c>
      <c r="I54" s="36" t="n">
        <f aca="false">(D54+((Premissas!$G$52-Premissas!$G$52*Premissas!$C$36/(1+Premissas!$B$10)^10)*(Premissas!$B$10/(1-(1+Premissas!$B$10)^-10))+(Premissas!$G$52*(Premissas!$G$84+Premissas!$G$85/10)+(Premissas!$G$80+Premissas!$G$81+Premissas!$G$82+Premissas!$G$83)/10)))/B54</f>
        <v>178691.517237372</v>
      </c>
      <c r="J54" s="36" t="n">
        <f aca="false">Premissas!$G$77*Premissas!$C$32</f>
        <v>105000</v>
      </c>
      <c r="K54" s="3"/>
      <c r="L54" s="3"/>
    </row>
    <row r="55" customFormat="false" ht="15" hidden="false" customHeight="false" outlineLevel="0" collapsed="false">
      <c r="A55" s="3" t="s">
        <v>467</v>
      </c>
      <c r="B55" s="38" t="n">
        <v>30</v>
      </c>
      <c r="C55" s="36" t="n">
        <f aca="false">MIN(B55,Premissas!$C$30)*Premissas!$G$77*Premissas!$C$32+(B55-MIN(B55,Premissas!$C$30)-MIN(B55-MIN(B55,Premissas!$C$30),Premissas!$C$31))*Premissas!$G$77*Premissas!$C$32*(1-Premissas!$B$12)+MIN(B55-MIN(B55,Premissas!$C$30),Premissas!$C$31)*Premissas!$G$44*Premissas!$C$38*Premissas!$G$78*Premissas!$C$32*(1-Premissas!$B$12)+B55*Premissas!$G$44*Premissas!$B$14*Premissas!$B$13</f>
        <v>2922780</v>
      </c>
      <c r="D55" s="36" t="n">
        <f aca="false">B55*(Premissas!$G$70*Premissas!$C$34/Premissas!$B$6+Premissas!$G$75)*Premissas!$C$33+Premissas!$G$68*Premissas!$C$33</f>
        <v>2994768.34782609</v>
      </c>
      <c r="E55" s="36" t="n">
        <f aca="false">C55-D55</f>
        <v>-71988.3478260869</v>
      </c>
      <c r="F55" s="42" t="n">
        <f aca="false">IF(C55=0,0,E55/C55)</f>
        <v>-0.0246300945764262</v>
      </c>
      <c r="G55" s="36" t="n">
        <f aca="false">E55-MAX(0,E55-Premissas!$G$52*(1-Premissas!$C$36)/10)*Premissas!$B$11-(Premissas!$G$52*(Premissas!$G$84+Premissas!$G$85/10)+(Premissas!$G$80+Premissas!$G$81+Premissas!$G$82+Premissas!$G$83)/10)</f>
        <v>-381988.347826087</v>
      </c>
      <c r="H55" s="42" t="n">
        <f aca="false">IFERROR(RATE(10,G55,-Premissas!$G$52,Premissas!$G$52*Premissas!$C$36),"&lt; -10%")</f>
        <v>-0.122025649728124</v>
      </c>
      <c r="I55" s="36" t="n">
        <f aca="false">(D55+((Premissas!$G$52-Premissas!$G$52*Premissas!$C$36/(1+Premissas!$B$10)^10)*(Premissas!$B$10/(1-(1+Premissas!$B$10)^-10))+(Premissas!$G$52*(Premissas!$G$84+Premissas!$G$85/10)+(Premissas!$G$80+Premissas!$G$81+Premissas!$G$82+Premissas!$G$83)/10)))/B55</f>
        <v>153949.844074621</v>
      </c>
      <c r="J55" s="36" t="n">
        <f aca="false">Premissas!$G$77*Premissas!$C$32</f>
        <v>105000</v>
      </c>
      <c r="K55" s="3"/>
      <c r="L55" s="3"/>
    </row>
    <row r="56" customFormat="false" ht="15" hidden="false" customHeight="false" outlineLevel="0" collapsed="false">
      <c r="A56" s="3" t="s">
        <v>468</v>
      </c>
      <c r="B56" s="38" t="n">
        <v>35</v>
      </c>
      <c r="C56" s="36" t="n">
        <f aca="false">MIN(B56,Premissas!$C$30)*Premissas!$G$77*Premissas!$C$32+(B56-MIN(B56,Premissas!$C$30)-MIN(B56-MIN(B56,Premissas!$C$30),Premissas!$C$31))*Premissas!$G$77*Premissas!$C$32*(1-Premissas!$B$12)+MIN(B56-MIN(B56,Premissas!$C$30),Premissas!$C$31)*Premissas!$G$44*Premissas!$C$38*Premissas!$G$78*Premissas!$C$32*(1-Premissas!$B$12)+B56*Premissas!$G$44*Premissas!$B$14*Premissas!$B$13</f>
        <v>3393330</v>
      </c>
      <c r="D56" s="36" t="n">
        <f aca="false">B56*(Premissas!$G$70*Premissas!$C$34/Premissas!$B$6+Premissas!$G$75)*Premissas!$C$33+Premissas!$G$68*Premissas!$C$33</f>
        <v>3145975.73913043</v>
      </c>
      <c r="E56" s="36" t="n">
        <f aca="false">C56-D56</f>
        <v>247354.260869565</v>
      </c>
      <c r="F56" s="42" t="n">
        <f aca="false">IF(C56=0,0,E56/C56)</f>
        <v>0.0728942545728136</v>
      </c>
      <c r="G56" s="36" t="n">
        <f aca="false">E56-MAX(0,E56-Premissas!$G$52*(1-Premissas!$C$36)/10)*Premissas!$B$11-(Premissas!$G$52*(Premissas!$G$84+Premissas!$G$85/10)+(Premissas!$G$80+Premissas!$G$81+Premissas!$G$82+Premissas!$G$83)/10)</f>
        <v>-62645.7391304346</v>
      </c>
      <c r="H56" s="42" t="n">
        <f aca="false">IFERROR(RATE(10,G56,-Premissas!$G$52,Premissas!$G$52*Premissas!$C$36),"&lt; -10%")</f>
        <v>-0.0757420965911154</v>
      </c>
      <c r="I56" s="36" t="n">
        <f aca="false">(D56+((Premissas!$G$52-Premissas!$G$52*Premissas!$C$36/(1+Premissas!$B$10)^10)*(Premissas!$B$10/(1-(1+Premissas!$B$10)^-10))+(Premissas!$G$52*(Premissas!$G$84+Premissas!$G$85/10)+(Premissas!$G$80+Premissas!$G$81+Premissas!$G$82+Premissas!$G$83)/10)))/B56</f>
        <v>136277.220386943</v>
      </c>
      <c r="J56" s="36" t="n">
        <f aca="false">Premissas!$G$77*Premissas!$C$32</f>
        <v>105000</v>
      </c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6" t="s">
        <v>469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470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6" t="s">
        <v>471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7" t="s">
        <v>472</v>
      </c>
      <c r="B4" s="8"/>
      <c r="C4" s="8"/>
      <c r="D4" s="8"/>
      <c r="E4" s="8"/>
      <c r="F4" s="8"/>
      <c r="G4" s="8"/>
      <c r="H4" s="3"/>
      <c r="I4" s="3"/>
      <c r="J4" s="3"/>
    </row>
    <row r="5" customFormat="false" ht="42" hidden="false" customHeight="true" outlineLevel="0" collapsed="false">
      <c r="A5" s="14" t="s">
        <v>473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  <c r="G5" s="9" t="s">
        <v>63</v>
      </c>
      <c r="H5" s="3"/>
      <c r="I5" s="3"/>
      <c r="J5" s="3"/>
    </row>
    <row r="6" customFormat="false" ht="15" hidden="false" customHeight="false" outlineLevel="0" collapsed="false">
      <c r="A6" s="4" t="s">
        <v>434</v>
      </c>
      <c r="B6" s="36" t="n">
        <f aca="false">Premissas!$B$52</f>
        <v>47709000</v>
      </c>
      <c r="C6" s="36" t="n">
        <f aca="false">Premissas!$C$52</f>
        <v>21400000</v>
      </c>
      <c r="D6" s="36" t="n">
        <f aca="false">Premissas!$D$52</f>
        <v>31940000</v>
      </c>
      <c r="E6" s="36" t="n">
        <f aca="false">Premissas!$E$52</f>
        <v>10600000</v>
      </c>
      <c r="F6" s="36" t="n">
        <f aca="false">Premissas!$F$52</f>
        <v>27370000</v>
      </c>
      <c r="G6" s="36" t="n">
        <f aca="false">Premissas!$G$52</f>
        <v>10000000</v>
      </c>
      <c r="H6" s="3"/>
      <c r="I6" s="3"/>
      <c r="J6" s="3"/>
    </row>
    <row r="7" customFormat="false" ht="15" hidden="false" customHeight="false" outlineLevel="0" collapsed="false">
      <c r="A7" s="4" t="s">
        <v>474</v>
      </c>
      <c r="B7" s="42" t="n">
        <f aca="false">Premissas!$C$35</f>
        <v>0.55</v>
      </c>
      <c r="C7" s="42" t="n">
        <f aca="false">Premissas!$C$36</f>
        <v>0.5</v>
      </c>
      <c r="D7" s="42" t="n">
        <f aca="false">Premissas!$C$35</f>
        <v>0.55</v>
      </c>
      <c r="E7" s="42" t="n">
        <f aca="false">Premissas!$C$36</f>
        <v>0.5</v>
      </c>
      <c r="F7" s="42" t="n">
        <f aca="false">Premissas!$C$35</f>
        <v>0.55</v>
      </c>
      <c r="G7" s="42" t="n">
        <f aca="false">Premissas!$C$36</f>
        <v>0.5</v>
      </c>
      <c r="H7" s="3"/>
      <c r="I7" s="3"/>
      <c r="J7" s="3"/>
    </row>
    <row r="8" customFormat="false" ht="15" hidden="false" customHeight="false" outlineLevel="0" collapsed="false">
      <c r="A8" s="4" t="s">
        <v>475</v>
      </c>
      <c r="B8" s="51" t="n">
        <f aca="false">Premissas!$B$10/(1-(1+Premissas!$B$10)^-10)</f>
        <v>0.162745394882512</v>
      </c>
      <c r="C8" s="51" t="n">
        <f aca="false">Premissas!$B$10/(1-(1+Premissas!$B$10)^-10)</f>
        <v>0.162745394882512</v>
      </c>
      <c r="D8" s="51" t="n">
        <f aca="false">Premissas!$B$10/(1-(1+Premissas!$B$10)^-10)</f>
        <v>0.162745394882512</v>
      </c>
      <c r="E8" s="51" t="n">
        <f aca="false">Premissas!$B$10/(1-(1+Premissas!$B$10)^-10)</f>
        <v>0.162745394882512</v>
      </c>
      <c r="F8" s="51" t="n">
        <f aca="false">Premissas!$B$10/(1-(1+Premissas!$B$10)^-10)</f>
        <v>0.162745394882512</v>
      </c>
      <c r="G8" s="51" t="n">
        <f aca="false">Premissas!$B$10/(1-(1+Premissas!$B$10)^-10)</f>
        <v>0.162745394882512</v>
      </c>
      <c r="H8" s="3"/>
      <c r="I8" s="3"/>
      <c r="J8" s="3"/>
    </row>
    <row r="9" customFormat="false" ht="15" hidden="false" customHeight="false" outlineLevel="0" collapsed="false">
      <c r="A9" s="4" t="s">
        <v>476</v>
      </c>
      <c r="B9" s="36" t="n">
        <f aca="false">Premissas!$B$52*(Premissas!$B$84+Premissas!$B$85/10)+(Premissas!$B$80+Premissas!$B$81+Premissas!$B$82+Premissas!$B$83)/10</f>
        <v>684381</v>
      </c>
      <c r="C9" s="36" t="n">
        <f aca="false">Premissas!$C$52*(Premissas!$C$84+Premissas!$C$85/10)+(Premissas!$C$80+Premissas!$C$81+Premissas!$C$82+Premissas!$C$83)/10</f>
        <v>604600</v>
      </c>
      <c r="D9" s="36" t="n">
        <f aca="false">Premissas!$D$52*(Premissas!$D$84+Premissas!$D$85/10)+(Premissas!$D$80+Premissas!$D$81+Premissas!$D$82+Premissas!$D$83)/10</f>
        <v>472460</v>
      </c>
      <c r="E9" s="36" t="n">
        <f aca="false">Premissas!$E$52*(Premissas!$E$84+Premissas!$E$85/10)+(Premissas!$E$80+Premissas!$E$81+Premissas!$E$82+Premissas!$E$83)/10</f>
        <v>383400</v>
      </c>
      <c r="F9" s="36" t="n">
        <f aca="false">Premissas!$F$52*(Premissas!$F$84+Premissas!$F$85/10)+(Premissas!$F$80+Premissas!$F$81+Premissas!$F$82+Premissas!$F$83)/10</f>
        <v>403330</v>
      </c>
      <c r="G9" s="36" t="n">
        <f aca="false">Premissas!$G$52*(Premissas!$G$84+Premissas!$G$85/10)+(Premissas!$G$80+Premissas!$G$81+Premissas!$G$82+Premissas!$G$83)/10</f>
        <v>310000</v>
      </c>
      <c r="H9" s="3"/>
      <c r="I9" s="3"/>
      <c r="J9" s="3"/>
    </row>
    <row r="10" customFormat="false" ht="15" hidden="false" customHeight="false" outlineLevel="0" collapsed="false">
      <c r="A10" s="14" t="s">
        <v>477</v>
      </c>
      <c r="B10" s="33" t="n">
        <f aca="false">(B6-B6*B7/(1+Premissas!$B$10)^10)*B8+B9</f>
        <v>6802365.02000239</v>
      </c>
      <c r="C10" s="33" t="n">
        <f aca="false">(C6-C6*C7/(1+Premissas!$B$10)^10)*C8+C9</f>
        <v>3415975.72524287</v>
      </c>
      <c r="D10" s="33" t="n">
        <f aca="false">(D6-D6*D7/(1+Premissas!$B$10)^10)*D8+D9</f>
        <v>4568299.56064634</v>
      </c>
      <c r="E10" s="33" t="n">
        <f aca="false">(E6-E6*E7/(1+Premissas!$B$10)^10)*E8+E9</f>
        <v>1775950.59287731</v>
      </c>
      <c r="F10" s="33" t="n">
        <f aca="false">(F6-F6*F7/(1+Premissas!$B$10)^10)*F8+F9</f>
        <v>3913133.65607045</v>
      </c>
      <c r="G10" s="33" t="n">
        <f aca="false">(G6-G6*G7/(1+Premissas!$B$10)^10)*G8+G9</f>
        <v>1623726.97441256</v>
      </c>
      <c r="H10" s="3"/>
      <c r="I10" s="3"/>
      <c r="J10" s="3"/>
    </row>
    <row r="11" customFormat="false" ht="15" hidden="false" customHeight="false" outlineLevel="0" collapsed="false">
      <c r="A11" s="4" t="s">
        <v>478</v>
      </c>
      <c r="B11" s="36" t="n">
        <f aca="false">Premissas!$B$68*Premissas!$C$33</f>
        <v>3394172</v>
      </c>
      <c r="C11" s="36" t="n">
        <f aca="false">Premissas!$C$68*Premissas!$C$33</f>
        <v>3453700</v>
      </c>
      <c r="D11" s="36" t="n">
        <f aca="false">Premissas!$D$68*Premissas!$C$33</f>
        <v>2528986</v>
      </c>
      <c r="E11" s="36" t="n">
        <f aca="false">Premissas!$E$68*Premissas!$C$33</f>
        <v>2503266</v>
      </c>
      <c r="F11" s="36" t="n">
        <f aca="false">Premissas!$F$68*Premissas!$C$33</f>
        <v>2191484</v>
      </c>
      <c r="G11" s="36" t="n">
        <f aca="false">Premissas!$G$68*Premissas!$C$33</f>
        <v>2087524</v>
      </c>
      <c r="H11" s="3"/>
      <c r="I11" s="3"/>
      <c r="J11" s="3"/>
    </row>
    <row r="12" customFormat="false" ht="15" hidden="false" customHeight="false" outlineLevel="0" collapsed="false">
      <c r="A12" s="4" t="s">
        <v>479</v>
      </c>
      <c r="B12" s="36" t="n">
        <f aca="false">(Premissas!$B$70*Premissas!$C$34/Premissas!$B$6+Premissas!$B$75)*Premissas!$C$33</f>
        <v>55271.1304347826</v>
      </c>
      <c r="C12" s="36" t="n">
        <f aca="false">(Premissas!$C$70*Premissas!$C$34/Premissas!$B$6+Premissas!$C$75)*Premissas!$C$33</f>
        <v>55271.1304347826</v>
      </c>
      <c r="D12" s="36" t="n">
        <f aca="false">(Premissas!$D$70*Premissas!$C$34/Premissas!$B$6+Premissas!$D$75)*Premissas!$C$33</f>
        <v>38328.1739130435</v>
      </c>
      <c r="E12" s="36" t="n">
        <f aca="false">(Premissas!$E$70*Premissas!$C$34/Premissas!$B$6+Premissas!$E$75)*Premissas!$C$33</f>
        <v>38328.1739130435</v>
      </c>
      <c r="F12" s="36" t="n">
        <f aca="false">(Premissas!$F$70*Premissas!$C$34/Premissas!$B$6+Premissas!$F$75)*Premissas!$C$33</f>
        <v>32840.0434782609</v>
      </c>
      <c r="G12" s="36" t="n">
        <f aca="false">(Premissas!$G$70*Premissas!$C$34/Premissas!$B$6+Premissas!$G$75)*Premissas!$C$33</f>
        <v>30241.4782608696</v>
      </c>
      <c r="H12" s="3"/>
      <c r="I12" s="3"/>
      <c r="J12" s="3"/>
    </row>
    <row r="13" customFormat="false" ht="15" hidden="false" customHeight="false" outlineLevel="0" collapsed="false">
      <c r="A13" s="4" t="s">
        <v>480</v>
      </c>
      <c r="B13" s="36" t="n">
        <f aca="false">Premissas!$B$77*Premissas!$C$32</f>
        <v>300000</v>
      </c>
      <c r="C13" s="36" t="n">
        <f aca="false">Premissas!$C$77*Premissas!$C$32</f>
        <v>270000</v>
      </c>
      <c r="D13" s="36" t="n">
        <f aca="false">Premissas!$D$77*Premissas!$C$32</f>
        <v>170000</v>
      </c>
      <c r="E13" s="36" t="n">
        <f aca="false">Premissas!$E$77*Premissas!$C$32</f>
        <v>150000</v>
      </c>
      <c r="F13" s="36" t="n">
        <f aca="false">Premissas!$F$77*Premissas!$C$32</f>
        <v>120000</v>
      </c>
      <c r="G13" s="36" t="n">
        <f aca="false">Premissas!$G$77*Premissas!$C$32</f>
        <v>105000</v>
      </c>
      <c r="H13" s="3"/>
      <c r="I13" s="3"/>
      <c r="J13" s="3"/>
    </row>
    <row r="14" customFormat="false" ht="15" hidden="false" customHeight="false" outlineLevel="0" collapsed="false">
      <c r="A14" s="14" t="s">
        <v>481</v>
      </c>
      <c r="B14" s="52" t="n">
        <f aca="false">(B11+B10)/(B13-B12)</f>
        <v>41.6646268097321</v>
      </c>
      <c r="C14" s="52" t="n">
        <f aca="false">(C11+C10)/(C13-C12)</f>
        <v>31.9923247356193</v>
      </c>
      <c r="D14" s="52" t="n">
        <f aca="false">(D11+D10)/(D13-D12)</f>
        <v>53.901322489135</v>
      </c>
      <c r="E14" s="52" t="n">
        <f aca="false">(E11+E10)/(E13-E12)</f>
        <v>38.3195721143234</v>
      </c>
      <c r="F14" s="52" t="n">
        <f aca="false">(F11+F10)/(F13-F12)</f>
        <v>70.0392462282592</v>
      </c>
      <c r="G14" s="52" t="n">
        <f aca="false">(G11+G10)/(G13-G12)</f>
        <v>49.6431829853853</v>
      </c>
      <c r="H14" s="3"/>
      <c r="I14" s="3"/>
      <c r="J14" s="3"/>
    </row>
    <row r="15" customFormat="false" ht="15" hidden="false" customHeight="false" outlineLevel="0" collapsed="false">
      <c r="A15" s="4" t="s">
        <v>482</v>
      </c>
      <c r="B15" s="39" t="n">
        <f aca="false">B11/(B13-B12)</f>
        <v>13.8691115847102</v>
      </c>
      <c r="C15" s="39" t="n">
        <f aca="false">C11/(C13-C12)</f>
        <v>16.0840040139598</v>
      </c>
      <c r="D15" s="39" t="n">
        <f aca="false">D11/(D13-D12)</f>
        <v>19.2067359826076</v>
      </c>
      <c r="E15" s="39" t="n">
        <f aca="false">E11/(E13-E12)</f>
        <v>22.4162717465617</v>
      </c>
      <c r="F15" s="39" t="n">
        <f aca="false">F11/(F13-F12)</f>
        <v>25.1432433821076</v>
      </c>
      <c r="G15" s="39" t="n">
        <f aca="false">G11/(G13-G12)</f>
        <v>27.9235590998496</v>
      </c>
      <c r="H15" s="3"/>
      <c r="I15" s="3"/>
      <c r="J15" s="3"/>
    </row>
    <row r="16" customFormat="false" ht="15" hidden="false" customHeight="false" outlineLevel="0" collapsed="false">
      <c r="A16" s="4" t="s">
        <v>483</v>
      </c>
      <c r="B16" s="36" t="n">
        <f aca="false">(B11+B10)/26+B12</f>
        <v>447445.631204105</v>
      </c>
      <c r="C16" s="36" t="n">
        <f aca="false">(C11+C10)/26+C12</f>
        <v>319489.427559509</v>
      </c>
      <c r="D16" s="36" t="n">
        <f aca="false">(D11+D10)/26+D12</f>
        <v>311300.695476364</v>
      </c>
      <c r="E16" s="36" t="n">
        <f aca="false">(E11+E10)/26+E12</f>
        <v>202913.427485248</v>
      </c>
      <c r="F16" s="36" t="n">
        <f aca="false">(F11+F10)/26+F12</f>
        <v>267633.030250201</v>
      </c>
      <c r="G16" s="36" t="n">
        <f aca="false">(G11+G10)/26+G12</f>
        <v>172981.90035366</v>
      </c>
      <c r="H16" s="3"/>
      <c r="I16" s="3"/>
      <c r="J16" s="3"/>
    </row>
    <row r="17" customFormat="false" ht="15" hidden="false" customHeight="false" outlineLevel="0" collapsed="false">
      <c r="A17" s="4" t="s">
        <v>484</v>
      </c>
      <c r="B17" s="42" t="n">
        <f aca="false">B16/B13-1</f>
        <v>0.491485437347017</v>
      </c>
      <c r="C17" s="42" t="n">
        <f aca="false">C16/C13-1</f>
        <v>0.183294176146328</v>
      </c>
      <c r="D17" s="42" t="n">
        <f aca="false">D16/D13-1</f>
        <v>0.831180561625672</v>
      </c>
      <c r="E17" s="42" t="n">
        <f aca="false">E16/E13-1</f>
        <v>0.352756183234985</v>
      </c>
      <c r="F17" s="42" t="n">
        <f aca="false">F16/F13-1</f>
        <v>1.23027525208501</v>
      </c>
      <c r="G17" s="42" t="n">
        <f aca="false">G16/G13-1</f>
        <v>0.64744667003486</v>
      </c>
      <c r="H17" s="3"/>
      <c r="I17" s="3"/>
      <c r="J17" s="3"/>
    </row>
    <row r="18" customFormat="false" ht="15" hidden="false" customHeight="false" outlineLevel="0" collapsed="false">
      <c r="A18" s="4" t="s">
        <v>485</v>
      </c>
      <c r="B18" s="36" t="n">
        <f aca="false">(B11+B10)/30+B12</f>
        <v>395155.697768195</v>
      </c>
      <c r="C18" s="36" t="n">
        <f aca="false">(C11+C10)/30+C12</f>
        <v>284260.321276212</v>
      </c>
      <c r="D18" s="36" t="n">
        <f aca="false">(D11+D10)/30+D12</f>
        <v>274904.359267921</v>
      </c>
      <c r="E18" s="36" t="n">
        <f aca="false">(E11+E10)/30+E12</f>
        <v>180968.727008954</v>
      </c>
      <c r="F18" s="36" t="n">
        <f aca="false">(F11+F10)/30+F12</f>
        <v>236327.298680609</v>
      </c>
      <c r="G18" s="36" t="n">
        <f aca="false">(G11+G10)/30+G12</f>
        <v>153949.844074622</v>
      </c>
      <c r="H18" s="3"/>
      <c r="I18" s="3"/>
      <c r="J18" s="3"/>
    </row>
    <row r="19" customFormat="false" ht="15" hidden="false" customHeight="false" outlineLevel="0" collapsed="false">
      <c r="A19" s="4" t="s">
        <v>486</v>
      </c>
      <c r="B19" s="42" t="n">
        <f aca="false">B18/B13-1</f>
        <v>0.317185659227318</v>
      </c>
      <c r="C19" s="42" t="n">
        <f aca="false">C18/C13-1</f>
        <v>0.0528160047267101</v>
      </c>
      <c r="D19" s="42" t="n">
        <f aca="false">D18/D13-1</f>
        <v>0.617084466281891</v>
      </c>
      <c r="E19" s="42" t="n">
        <f aca="false">E18/E13-1</f>
        <v>0.206458180059693</v>
      </c>
      <c r="F19" s="42" t="n">
        <f aca="false">F18/F13-1</f>
        <v>0.969394155671744</v>
      </c>
      <c r="G19" s="42" t="n">
        <f aca="false">G18/G13-1</f>
        <v>0.466188991186872</v>
      </c>
      <c r="H19" s="3"/>
      <c r="I19" s="3"/>
      <c r="J19" s="3"/>
    </row>
    <row r="20" customFormat="false" ht="15" hidden="false" customHeight="false" outlineLevel="0" collapsed="false">
      <c r="A20" s="4" t="s">
        <v>487</v>
      </c>
      <c r="B20" s="45" t="n">
        <f aca="false">(1-(1+Premissas!$B$10)^-10)/Premissas!$B$10</f>
        <v>6.14456710570469</v>
      </c>
      <c r="C20" s="45" t="n">
        <f aca="false">(1-(1+Premissas!$B$10)^-10)/Premissas!$B$10</f>
        <v>6.14456710570469</v>
      </c>
      <c r="D20" s="45" t="n">
        <f aca="false">(1-(1+Premissas!$B$10)^-10)/Premissas!$B$10</f>
        <v>6.14456710570469</v>
      </c>
      <c r="E20" s="45" t="n">
        <f aca="false">(1-(1+Premissas!$B$10)^-10)/Premissas!$B$10</f>
        <v>6.14456710570469</v>
      </c>
      <c r="F20" s="45" t="n">
        <f aca="false">(1-(1+Premissas!$B$10)^-10)/Premissas!$B$10</f>
        <v>6.14456710570469</v>
      </c>
      <c r="G20" s="45" t="n">
        <f aca="false">(1-(1+Premissas!$B$10)^-10)/Premissas!$B$10</f>
        <v>6.14456710570469</v>
      </c>
      <c r="H20" s="3"/>
      <c r="I20" s="3"/>
      <c r="J20" s="3"/>
    </row>
    <row r="21" customFormat="false" ht="15" hidden="false" customHeight="false" outlineLevel="0" collapsed="false">
      <c r="A21" s="14" t="s">
        <v>488</v>
      </c>
      <c r="B21" s="33" t="n">
        <f aca="false">MAX(0,((26*(B13-B12)-B11)*(1-Premissas!$B$11)-((Premissas!$B$80+Premissas!$B$81+Premissas!$B$82+Premissas!$B$83)/10))*B20/(1+(Premissas!$B$84+Premissas!$B$85/10)*B20-Premissas!$C$35/(1+Premissas!$B$10)^10))</f>
        <v>12419488.9784628</v>
      </c>
      <c r="C21" s="33" t="n">
        <f aca="false">MAX(0,((26*(C13-C12)-C11)*(1-Premissas!$B$11)-((Premissas!$C$80+Premissas!$C$81+Premissas!$C$82+Premissas!$C$83)/10))*C20/(1+(Premissas!$C$84+Premissas!$C$85/10)*C20-Premissas!$C$36/(1+Premissas!$B$10)^10))</f>
        <v>7568858.67226724</v>
      </c>
      <c r="D21" s="33" t="n">
        <f aca="false">MAX(0,((26*(D13-D12)-D11)*(1-Premissas!$B$11)-((Premissas!$D$80+Premissas!$D$81+Premissas!$D$82+Premissas!$D$83)/10))*D20/(1+(Premissas!$D$84+Premissas!$D$85/10)*D20-Premissas!$C$35/(1+Premissas!$B$10)^10))</f>
        <v>2953740.02511051</v>
      </c>
      <c r="E21" s="33" t="n">
        <f aca="false">MAX(0,((26*(E13-E12)-E11)*(1-Premissas!$B$11)-((Premissas!$E$80+Premissas!$E$81+Premissas!$E$82+Premissas!$E$83)/10))*E20/(1+(Premissas!$E$84+Premissas!$E$85/10)*E20-Premissas!$C$36/(1+Premissas!$B$10)^10))</f>
        <v>200401.974820245</v>
      </c>
      <c r="F21" s="33" t="n">
        <f aca="false">MAX(0,((26*(F13-F12)-F11)*(1-Premissas!$B$11)-((Premissas!$F$80+Premissas!$F$81+Premissas!$F$82+Premissas!$F$83)/10))*F20/(1+(Premissas!$F$84+Premissas!$F$85/10)*F20-Premissas!$C$35/(1+Premissas!$B$10)^10))</f>
        <v>0</v>
      </c>
      <c r="G21" s="33" t="n">
        <f aca="false">MAX(0,((26*(G13-G12)-G11)*(1-Premissas!$B$11)-((Premissas!$G$80+Premissas!$G$81+Premissas!$G$82+Premissas!$G$83)/10))*G20/(1+(Premissas!$G$84+Premissas!$G$85/10)*G20-Premissas!$C$36/(1+Premissas!$B$10)^10))</f>
        <v>0</v>
      </c>
      <c r="H21" s="3"/>
      <c r="I21" s="3"/>
      <c r="J21" s="3"/>
    </row>
    <row r="22" customFormat="false" ht="15" hidden="false" customHeight="false" outlineLevel="0" collapsed="false">
      <c r="A22" s="14" t="s">
        <v>489</v>
      </c>
      <c r="B22" s="33" t="n">
        <f aca="false">MAX(0,((30*(B13-B12)-B11)*(1-Premissas!$B$11)-((Premissas!$B$80+Premissas!$B$81+Premissas!$B$82+Premissas!$B$83)/10))*B20/(1+(Premissas!$B$84+Premissas!$B$85/10)*B20-Premissas!$C$35/(1+Premissas!$B$10)^10))</f>
        <v>17127341.9468525</v>
      </c>
      <c r="C22" s="33" t="n">
        <f aca="false">MAX(0,((30*(C13-C12)-C11)*(1-Premissas!$B$11)-((Premissas!$C$80+Premissas!$C$81+Premissas!$C$82+Premissas!$C$83)/10))*C20/(1+(Premissas!$C$84+Premissas!$C$85/10)*C20-Premissas!$C$36/(1+Premissas!$B$10)^10))</f>
        <v>11468381.9364706</v>
      </c>
      <c r="D22" s="33" t="n">
        <f aca="false">MAX(0,((30*(D13-D12)-D11)*(1-Premissas!$B$11)-((Premissas!$D$80+Premissas!$D$81+Premissas!$D$82+Premissas!$D$83)/10))*D20/(1+(Premissas!$D$84+Premissas!$D$85/10)*D20-Premissas!$C$35/(1+Premissas!$B$10)^10))</f>
        <v>5486712.93671703</v>
      </c>
      <c r="E22" s="33" t="n">
        <f aca="false">MAX(0,((30*(E13-E12)-E11)*(1-Premissas!$B$11)-((Premissas!$E$80+Premissas!$E$81+Premissas!$E$82+Premissas!$E$83)/10))*E20/(1+(Premissas!$E$84+Premissas!$E$85/10)*E20-Premissas!$C$36/(1+Premissas!$B$10)^10))</f>
        <v>2228386.77567116</v>
      </c>
      <c r="F22" s="33" t="n">
        <f aca="false">MAX(0,((30*(F13-F12)-F11)*(1-Premissas!$B$11)-((Premissas!$F$80+Premissas!$F$81+Premissas!$F$82+Premissas!$F$83)/10))*F20/(1+(Premissas!$F$84+Premissas!$F$85/10)*F20-Premissas!$C$35/(1+Premissas!$B$10)^10))</f>
        <v>891808.34121446</v>
      </c>
      <c r="G22" s="33" t="n">
        <f aca="false">MAX(0,((30*(G13-G12)-G11)*(1-Premissas!$B$11)-((Premissas!$G$80+Premissas!$G$81+Premissas!$G$82+Premissas!$G$83)/10))*G20/(1+(Premissas!$G$84+Premissas!$G$85/10)*G20-Premissas!$C$36/(1+Premissas!$B$10)^10))</f>
        <v>0</v>
      </c>
      <c r="H22" s="3"/>
      <c r="I22" s="3"/>
      <c r="J22" s="3"/>
    </row>
    <row r="23" customFormat="false" ht="15" hidden="false" customHeight="false" outlineLevel="0" collapsed="false">
      <c r="A23" s="6" t="s">
        <v>490</v>
      </c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7" t="s">
        <v>491</v>
      </c>
      <c r="B25" s="8"/>
      <c r="C25" s="8"/>
      <c r="D25" s="8"/>
      <c r="E25" s="8"/>
      <c r="F25" s="8"/>
      <c r="G25" s="8"/>
      <c r="H25" s="3"/>
      <c r="I25" s="3"/>
      <c r="J25" s="3"/>
    </row>
    <row r="26" customFormat="false" ht="30" hidden="false" customHeight="true" outlineLevel="0" collapsed="false">
      <c r="A26" s="53" t="s">
        <v>492</v>
      </c>
      <c r="B26" s="53" t="s">
        <v>493</v>
      </c>
      <c r="C26" s="53" t="s">
        <v>494</v>
      </c>
      <c r="D26" s="53" t="s">
        <v>495</v>
      </c>
      <c r="E26" s="53" t="s">
        <v>496</v>
      </c>
      <c r="F26" s="3"/>
      <c r="G26" s="3"/>
      <c r="H26" s="3"/>
      <c r="I26" s="3"/>
      <c r="J26" s="3"/>
    </row>
    <row r="27" customFormat="false" ht="15" hidden="false" customHeight="false" outlineLevel="0" collapsed="false">
      <c r="A27" s="14" t="s">
        <v>497</v>
      </c>
      <c r="B27" s="54" t="n">
        <f aca="false">Projecao!$C$205</f>
        <v>21400000</v>
      </c>
      <c r="C27" s="54" t="n">
        <f aca="false">Projecao!$C$82</f>
        <v>47709000</v>
      </c>
      <c r="D27" s="54" t="n">
        <f aca="false">0</f>
        <v>0</v>
      </c>
      <c r="E27" s="54" t="n">
        <f aca="false">Projecao!$C$451</f>
        <v>10600000</v>
      </c>
      <c r="F27" s="3"/>
      <c r="G27" s="3"/>
      <c r="H27" s="3"/>
      <c r="I27" s="3"/>
      <c r="J27" s="3"/>
    </row>
    <row r="28" customFormat="false" ht="39.55" hidden="false" customHeight="false" outlineLevel="0" collapsed="false">
      <c r="A28" s="14" t="s">
        <v>498</v>
      </c>
      <c r="B28" s="55" t="s">
        <v>499</v>
      </c>
      <c r="C28" s="55" t="s">
        <v>500</v>
      </c>
      <c r="D28" s="55" t="s">
        <v>501</v>
      </c>
      <c r="E28" s="55" t="s">
        <v>502</v>
      </c>
      <c r="F28" s="3"/>
      <c r="G28" s="3"/>
      <c r="H28" s="3"/>
      <c r="I28" s="3"/>
      <c r="J28" s="3"/>
    </row>
    <row r="29" customFormat="false" ht="39.55" hidden="false" customHeight="false" outlineLevel="0" collapsed="false">
      <c r="A29" s="14" t="s">
        <v>503</v>
      </c>
      <c r="B29" s="55" t="s">
        <v>504</v>
      </c>
      <c r="C29" s="55" t="s">
        <v>505</v>
      </c>
      <c r="D29" s="55" t="s">
        <v>506</v>
      </c>
      <c r="E29" s="55" t="s">
        <v>507</v>
      </c>
      <c r="F29" s="3"/>
      <c r="G29" s="3"/>
      <c r="H29" s="3"/>
      <c r="I29" s="3"/>
      <c r="J29" s="3"/>
    </row>
    <row r="30" customFormat="false" ht="26.85" hidden="false" customHeight="false" outlineLevel="0" collapsed="false">
      <c r="A30" s="14" t="s">
        <v>508</v>
      </c>
      <c r="B30" s="54" t="n">
        <f aca="false">Projecao!$C$203</f>
        <v>5188596.02923478</v>
      </c>
      <c r="C30" s="54" t="n">
        <f aca="false">Projecao!$C$80</f>
        <v>5125442.77403478</v>
      </c>
      <c r="D30" s="55" t="s">
        <v>509</v>
      </c>
      <c r="E30" s="54" t="n">
        <f aca="false">Projecao!$C$449</f>
        <v>3712936.25171304</v>
      </c>
      <c r="F30" s="3"/>
      <c r="G30" s="3"/>
      <c r="H30" s="3"/>
      <c r="I30" s="3"/>
      <c r="J30" s="3"/>
    </row>
    <row r="31" customFormat="false" ht="26.85" hidden="false" customHeight="false" outlineLevel="0" collapsed="false">
      <c r="A31" s="14" t="s">
        <v>510</v>
      </c>
      <c r="B31" s="55" t="s">
        <v>511</v>
      </c>
      <c r="C31" s="55" t="s">
        <v>512</v>
      </c>
      <c r="D31" s="55" t="s">
        <v>513</v>
      </c>
      <c r="E31" s="55" t="s">
        <v>511</v>
      </c>
      <c r="F31" s="3"/>
      <c r="G31" s="3"/>
      <c r="H31" s="3"/>
      <c r="I31" s="3"/>
      <c r="J31" s="3"/>
    </row>
    <row r="32" customFormat="false" ht="26.85" hidden="false" customHeight="false" outlineLevel="0" collapsed="false">
      <c r="A32" s="14" t="s">
        <v>514</v>
      </c>
      <c r="B32" s="55" t="s">
        <v>515</v>
      </c>
      <c r="C32" s="55" t="s">
        <v>516</v>
      </c>
      <c r="D32" s="55" t="s">
        <v>517</v>
      </c>
      <c r="E32" s="55" t="s">
        <v>515</v>
      </c>
      <c r="F32" s="3"/>
      <c r="G32" s="3"/>
      <c r="H32" s="3"/>
      <c r="I32" s="3"/>
      <c r="J32" s="3"/>
    </row>
    <row r="33" customFormat="false" ht="39.55" hidden="false" customHeight="false" outlineLevel="0" collapsed="false">
      <c r="A33" s="14" t="s">
        <v>518</v>
      </c>
      <c r="B33" s="55" t="s">
        <v>519</v>
      </c>
      <c r="C33" s="55" t="s">
        <v>519</v>
      </c>
      <c r="D33" s="55" t="s">
        <v>520</v>
      </c>
      <c r="E33" s="55" t="s">
        <v>521</v>
      </c>
      <c r="F33" s="3"/>
      <c r="G33" s="3"/>
      <c r="H33" s="3"/>
      <c r="I33" s="3"/>
      <c r="J33" s="3"/>
    </row>
    <row r="34" customFormat="false" ht="15" hidden="false" customHeight="false" outlineLevel="0" collapsed="false">
      <c r="A34" s="14" t="s">
        <v>522</v>
      </c>
      <c r="B34" s="54" t="n">
        <f aca="false">Projecao!$C$206</f>
        <v>10700000</v>
      </c>
      <c r="C34" s="54" t="n">
        <f aca="false">Projecao!$C$83</f>
        <v>26239950</v>
      </c>
      <c r="D34" s="54" t="n">
        <f aca="false">0</f>
        <v>0</v>
      </c>
      <c r="E34" s="54" t="n">
        <f aca="false">Projecao!$C$452</f>
        <v>5300000</v>
      </c>
      <c r="F34" s="3"/>
      <c r="G34" s="3"/>
      <c r="H34" s="3"/>
      <c r="I34" s="3"/>
      <c r="J34" s="3"/>
    </row>
    <row r="35" customFormat="false" ht="15" hidden="false" customHeight="false" outlineLevel="0" collapsed="false">
      <c r="A35" s="14" t="s">
        <v>523</v>
      </c>
      <c r="B35" s="56" t="n">
        <f aca="false">Projecao!$C$204</f>
        <v>18.2660427110212</v>
      </c>
      <c r="C35" s="56" t="n">
        <f aca="false">Projecao!$C$81</f>
        <v>15.7638714728215</v>
      </c>
      <c r="D35" s="55" t="s">
        <v>524</v>
      </c>
      <c r="E35" s="56" t="n">
        <f aca="false">Projecao!$C$450</f>
        <v>24.9246822661317</v>
      </c>
      <c r="F35" s="3"/>
      <c r="G35" s="3"/>
      <c r="H35" s="3"/>
      <c r="I35" s="3"/>
      <c r="J35" s="3"/>
    </row>
    <row r="36" customFormat="false" ht="15" hidden="false" customHeight="false" outlineLevel="0" collapsed="false">
      <c r="A36" s="14" t="s">
        <v>525</v>
      </c>
      <c r="B36" s="56" t="n">
        <f aca="false">C14</f>
        <v>31.9923247356193</v>
      </c>
      <c r="C36" s="56" t="n">
        <f aca="false">B14</f>
        <v>41.6646268097321</v>
      </c>
      <c r="D36" s="55" t="s">
        <v>526</v>
      </c>
      <c r="E36" s="56" t="n">
        <f aca="false">E14</f>
        <v>38.3195721143234</v>
      </c>
      <c r="F36" s="3"/>
      <c r="G36" s="3"/>
      <c r="H36" s="3"/>
      <c r="I36" s="3"/>
      <c r="J36" s="3"/>
    </row>
    <row r="37" customFormat="false" ht="15" hidden="false" customHeight="false" outlineLevel="0" collapsed="false">
      <c r="A37" s="14" t="s">
        <v>527</v>
      </c>
      <c r="B37" s="57" t="n">
        <f aca="false">Projecao!$C$198</f>
        <v>-0.200575448636784</v>
      </c>
      <c r="C37" s="57" t="n">
        <f aca="false">Projecao!$C$75</f>
        <v>-0.146391802902184</v>
      </c>
      <c r="D37" s="55" t="s">
        <v>524</v>
      </c>
      <c r="E37" s="57" t="n">
        <f aca="false">Projecao!$C$444</f>
        <v>-0.896476482361267</v>
      </c>
      <c r="F37" s="3"/>
      <c r="G37" s="3"/>
      <c r="H37" s="3"/>
      <c r="I37" s="3"/>
      <c r="J37" s="3"/>
    </row>
    <row r="38" customFormat="false" ht="15" hidden="false" customHeight="false" outlineLevel="0" collapsed="false">
      <c r="A38" s="14" t="s">
        <v>528</v>
      </c>
      <c r="B38" s="57" t="n">
        <f aca="false">Projecao!$C$195</f>
        <v>-0.0269687823357965</v>
      </c>
      <c r="C38" s="57" t="n">
        <f aca="false">Projecao!$C$72</f>
        <v>-0.0174193225064716</v>
      </c>
      <c r="D38" s="55" t="s">
        <v>524</v>
      </c>
      <c r="E38" s="57" t="n">
        <f aca="false">Projecao!$C$441</f>
        <v>-0.135553152458151</v>
      </c>
      <c r="F38" s="3"/>
      <c r="G38" s="3"/>
      <c r="H38" s="3"/>
      <c r="I38" s="3"/>
      <c r="J38" s="3"/>
    </row>
    <row r="39" customFormat="false" ht="15" hidden="false" customHeight="false" outlineLevel="0" collapsed="false">
      <c r="A39" s="14" t="s">
        <v>529</v>
      </c>
      <c r="B39" s="54" t="n">
        <f aca="false">Projecao!$C$196</f>
        <v>-13109787.873133</v>
      </c>
      <c r="C39" s="54" t="n">
        <f aca="false">Projecao!$C$73</f>
        <v>-31517619.3126261</v>
      </c>
      <c r="D39" s="54" t="n">
        <f aca="false">0</f>
        <v>0</v>
      </c>
      <c r="E39" s="54" t="n">
        <f aca="false">Projecao!$C$442</f>
        <v>-10853227.9085005</v>
      </c>
      <c r="F39" s="3"/>
      <c r="G39" s="3"/>
      <c r="H39" s="3"/>
      <c r="I39" s="3"/>
      <c r="J3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16" min="3" style="0" width="12"/>
  </cols>
  <sheetData>
    <row r="1" customFormat="false" ht="17.35" hidden="false" customHeight="false" outlineLevel="0" collapsed="false">
      <c r="A1" s="1" t="s">
        <v>530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6" t="s">
        <v>531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3"/>
      <c r="B4" s="19" t="s">
        <v>532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3"/>
      <c r="B5" s="3" t="s">
        <v>533</v>
      </c>
      <c r="C5" s="24" t="n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5" hidden="false" customHeight="false" outlineLevel="0" collapsed="false">
      <c r="A6" s="3"/>
      <c r="B6" s="14" t="s">
        <v>398</v>
      </c>
      <c r="C6" s="14" t="n">
        <v>-2</v>
      </c>
      <c r="D6" s="14" t="n">
        <v>-1</v>
      </c>
      <c r="E6" s="14" t="n">
        <v>0</v>
      </c>
      <c r="F6" s="14" t="n">
        <v>1</v>
      </c>
      <c r="G6" s="14" t="n">
        <v>2</v>
      </c>
      <c r="H6" s="14" t="n">
        <v>3</v>
      </c>
      <c r="I6" s="14" t="n">
        <v>4</v>
      </c>
      <c r="J6" s="14" t="n">
        <v>5</v>
      </c>
      <c r="K6" s="14" t="n">
        <v>6</v>
      </c>
      <c r="L6" s="14" t="n">
        <v>7</v>
      </c>
      <c r="M6" s="14" t="n">
        <v>8</v>
      </c>
      <c r="N6" s="14" t="n">
        <v>9</v>
      </c>
      <c r="O6" s="14" t="n">
        <v>10</v>
      </c>
      <c r="P6" s="3"/>
    </row>
    <row r="7" customFormat="false" ht="15" hidden="false" customHeight="false" outlineLevel="0" collapsed="false">
      <c r="A7" s="3"/>
      <c r="B7" s="4" t="s">
        <v>534</v>
      </c>
      <c r="C7" s="20" t="n">
        <f aca="false">Projecao!C192</f>
        <v>0</v>
      </c>
      <c r="D7" s="20" t="n">
        <f aca="false">Projecao!D192</f>
        <v>0</v>
      </c>
      <c r="E7" s="20" t="n">
        <f aca="false">Projecao!E192</f>
        <v>-21400000</v>
      </c>
      <c r="F7" s="20" t="n">
        <f aca="false">Projecao!F192</f>
        <v>593050.017391305</v>
      </c>
      <c r="G7" s="20" t="n">
        <f aca="false">Projecao!G192</f>
        <v>1158531.3637913</v>
      </c>
      <c r="H7" s="20" t="n">
        <f aca="false">Projecao!H192</f>
        <v>683268.890705043</v>
      </c>
      <c r="I7" s="20" t="n">
        <f aca="false">Projecao!I192</f>
        <v>1162338.20807619</v>
      </c>
      <c r="J7" s="20" t="n">
        <f aca="false">Projecao!J192</f>
        <v>37987.5974847274</v>
      </c>
      <c r="K7" s="20" t="n">
        <f aca="false">Projecao!K192</f>
        <v>171780.796603876</v>
      </c>
      <c r="L7" s="20" t="n">
        <f aca="false">Projecao!L192</f>
        <v>1164176.89343861</v>
      </c>
      <c r="M7" s="20" t="n">
        <f aca="false">Projecao!M192</f>
        <v>548700.372314817</v>
      </c>
      <c r="N7" s="20" t="n">
        <f aca="false">Projecao!N192</f>
        <v>1162467.75658319</v>
      </c>
      <c r="O7" s="20" t="n">
        <f aca="false">Projecao!O192</f>
        <v>10425383.5027838</v>
      </c>
      <c r="P7" s="3"/>
    </row>
    <row r="8" customFormat="false" ht="15" hidden="false" customHeight="false" outlineLevel="0" collapsed="false">
      <c r="A8" s="3"/>
      <c r="B8" s="4" t="s">
        <v>535</v>
      </c>
      <c r="C8" s="36" t="n">
        <v>0</v>
      </c>
      <c r="D8" s="36" t="n">
        <v>0</v>
      </c>
      <c r="E8" s="36" t="n">
        <f aca="false">Projecao!$C$205*$C$5</f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  <c r="M8" s="36" t="n">
        <v>0</v>
      </c>
      <c r="N8" s="36" t="n">
        <v>0</v>
      </c>
      <c r="O8" s="36" t="n">
        <v>0</v>
      </c>
      <c r="P8" s="3"/>
    </row>
    <row r="9" customFormat="false" ht="15" hidden="false" customHeight="false" outlineLevel="0" collapsed="false">
      <c r="A9" s="3"/>
      <c r="B9" s="4" t="s">
        <v>536</v>
      </c>
      <c r="C9" s="36" t="n">
        <v>0</v>
      </c>
      <c r="D9" s="36" t="n">
        <v>0</v>
      </c>
      <c r="E9" s="36" t="n">
        <v>0</v>
      </c>
      <c r="F9" s="36" t="n">
        <f aca="false">E8</f>
        <v>0</v>
      </c>
      <c r="G9" s="36" t="n">
        <f aca="false">F9-F11</f>
        <v>0</v>
      </c>
      <c r="H9" s="36" t="n">
        <f aca="false">G9-G11</f>
        <v>0</v>
      </c>
      <c r="I9" s="36" t="n">
        <f aca="false">H9-H11</f>
        <v>0</v>
      </c>
      <c r="J9" s="36" t="n">
        <f aca="false">I9-I11</f>
        <v>0</v>
      </c>
      <c r="K9" s="36" t="n">
        <f aca="false">J9-J11</f>
        <v>0</v>
      </c>
      <c r="L9" s="36" t="n">
        <f aca="false">K9-K11</f>
        <v>0</v>
      </c>
      <c r="M9" s="36" t="n">
        <f aca="false">L9-L11</f>
        <v>0</v>
      </c>
      <c r="N9" s="36" t="n">
        <f aca="false">M9-M11</f>
        <v>0</v>
      </c>
      <c r="O9" s="36" t="n">
        <f aca="false">N9-N11</f>
        <v>0</v>
      </c>
      <c r="P9" s="3"/>
    </row>
    <row r="10" customFormat="false" ht="15" hidden="false" customHeight="false" outlineLevel="0" collapsed="false">
      <c r="A10" s="3"/>
      <c r="B10" s="4" t="s">
        <v>537</v>
      </c>
      <c r="C10" s="36" t="n">
        <f aca="false">-C9*Premissas!$B$23</f>
        <v>-0</v>
      </c>
      <c r="D10" s="36" t="n">
        <f aca="false">-D9*Premissas!$B$23</f>
        <v>-0</v>
      </c>
      <c r="E10" s="36" t="n">
        <f aca="false">-E9*Premissas!$B$23</f>
        <v>-0</v>
      </c>
      <c r="F10" s="36" t="n">
        <f aca="false">-F9*Premissas!$B$23</f>
        <v>-0</v>
      </c>
      <c r="G10" s="36" t="n">
        <f aca="false">-G9*Premissas!$B$23</f>
        <v>-0</v>
      </c>
      <c r="H10" s="36" t="n">
        <f aca="false">-H9*Premissas!$B$23</f>
        <v>-0</v>
      </c>
      <c r="I10" s="36" t="n">
        <f aca="false">-I9*Premissas!$B$23</f>
        <v>-0</v>
      </c>
      <c r="J10" s="36" t="n">
        <f aca="false">-J9*Premissas!$B$23</f>
        <v>-0</v>
      </c>
      <c r="K10" s="36" t="n">
        <f aca="false">-K9*Premissas!$B$23</f>
        <v>-0</v>
      </c>
      <c r="L10" s="36" t="n">
        <f aca="false">-L9*Premissas!$B$23</f>
        <v>-0</v>
      </c>
      <c r="M10" s="36" t="n">
        <f aca="false">-M9*Premissas!$B$23</f>
        <v>-0</v>
      </c>
      <c r="N10" s="36" t="n">
        <f aca="false">-N9*Premissas!$B$23</f>
        <v>-0</v>
      </c>
      <c r="O10" s="36" t="n">
        <f aca="false">-O9*Premissas!$B$23</f>
        <v>-0</v>
      </c>
      <c r="P10" s="3"/>
    </row>
    <row r="11" customFormat="false" ht="15" hidden="false" customHeight="false" outlineLevel="0" collapsed="false">
      <c r="A11" s="3"/>
      <c r="B11" s="4" t="s">
        <v>538</v>
      </c>
      <c r="C11" s="36" t="n">
        <v>0</v>
      </c>
      <c r="D11" s="36" t="n">
        <v>0</v>
      </c>
      <c r="E11" s="36" t="n">
        <v>0</v>
      </c>
      <c r="F11" s="36" t="n">
        <f aca="false">-IF(F$6&lt;Premissas!$B$24,E8*(1-Premissas!$B$25)/Premissas!$B$24,F9)</f>
        <v>-0</v>
      </c>
      <c r="G11" s="36" t="n">
        <f aca="false">-IF(G$6&lt;Premissas!$B$24,E8*(1-Premissas!$B$25)/Premissas!$B$24,G9)</f>
        <v>-0</v>
      </c>
      <c r="H11" s="36" t="n">
        <f aca="false">-IF(H$6&lt;Premissas!$B$24,E8*(1-Premissas!$B$25)/Premissas!$B$24,H9)</f>
        <v>-0</v>
      </c>
      <c r="I11" s="36" t="n">
        <f aca="false">-IF(I$6&lt;Premissas!$B$24,E8*(1-Premissas!$B$25)/Premissas!$B$24,I9)</f>
        <v>-0</v>
      </c>
      <c r="J11" s="36" t="n">
        <f aca="false">-IF(J$6&lt;Premissas!$B$24,E8*(1-Premissas!$B$25)/Premissas!$B$24,J9)</f>
        <v>-0</v>
      </c>
      <c r="K11" s="36" t="n">
        <f aca="false">-IF(K$6&lt;Premissas!$B$24,E8*(1-Premissas!$B$25)/Premissas!$B$24,K9)</f>
        <v>-0</v>
      </c>
      <c r="L11" s="36" t="n">
        <f aca="false">-IF(L$6&lt;Premissas!$B$24,E8*(1-Premissas!$B$25)/Premissas!$B$24,L9)</f>
        <v>-0</v>
      </c>
      <c r="M11" s="36" t="n">
        <f aca="false">-IF(M$6&lt;Premissas!$B$24,E8*(1-Premissas!$B$25)/Premissas!$B$24,M9)</f>
        <v>-0</v>
      </c>
      <c r="N11" s="36" t="n">
        <f aca="false">-IF(N$6&lt;Premissas!$B$24,E8*(1-Premissas!$B$25)/Premissas!$B$24,N9)</f>
        <v>-0</v>
      </c>
      <c r="O11" s="36" t="n">
        <f aca="false">-IF(O$6&lt;Premissas!$B$24,E8*(1-Premissas!$B$25)/Premissas!$B$24,O9)</f>
        <v>-0</v>
      </c>
      <c r="P11" s="3"/>
    </row>
    <row r="12" customFormat="false" ht="15" hidden="false" customHeight="false" outlineLevel="0" collapsed="false">
      <c r="A12" s="3"/>
      <c r="B12" s="4" t="s">
        <v>539</v>
      </c>
      <c r="C12" s="36" t="n">
        <v>0</v>
      </c>
      <c r="D12" s="36" t="n">
        <v>0</v>
      </c>
      <c r="E12" s="36" t="n">
        <v>0</v>
      </c>
      <c r="F12" s="36" t="n">
        <f aca="false">MIN(-F10,MAX(0,Projecao!F186))*Premissas!$B$11</f>
        <v>0</v>
      </c>
      <c r="G12" s="36" t="n">
        <f aca="false">MIN(-G10,MAX(0,Projecao!G186))*Premissas!$B$11</f>
        <v>0</v>
      </c>
      <c r="H12" s="36" t="n">
        <f aca="false">MIN(-H10,MAX(0,Projecao!H186))*Premissas!$B$11</f>
        <v>0</v>
      </c>
      <c r="I12" s="36" t="n">
        <f aca="false">MIN(-I10,MAX(0,Projecao!I186))*Premissas!$B$11</f>
        <v>0</v>
      </c>
      <c r="J12" s="36" t="n">
        <f aca="false">MIN(-J10,MAX(0,Projecao!J186))*Premissas!$B$11</f>
        <v>0</v>
      </c>
      <c r="K12" s="36" t="n">
        <f aca="false">MIN(-K10,MAX(0,Projecao!K186))*Premissas!$B$11</f>
        <v>0</v>
      </c>
      <c r="L12" s="36" t="n">
        <f aca="false">MIN(-L10,MAX(0,Projecao!L186))*Premissas!$B$11</f>
        <v>0</v>
      </c>
      <c r="M12" s="36" t="n">
        <f aca="false">MIN(-M10,MAX(0,Projecao!M186))*Premissas!$B$11</f>
        <v>0</v>
      </c>
      <c r="N12" s="36" t="n">
        <f aca="false">MIN(-N10,MAX(0,Projecao!N186))*Premissas!$B$11</f>
        <v>0</v>
      </c>
      <c r="O12" s="36" t="n">
        <f aca="false">MIN(-O10,MAX(0,Projecao!O186))*Premissas!$B$11</f>
        <v>0</v>
      </c>
      <c r="P12" s="3"/>
    </row>
    <row r="13" customFormat="false" ht="15" hidden="false" customHeight="false" outlineLevel="0" collapsed="false">
      <c r="A13" s="3"/>
      <c r="B13" s="14" t="s">
        <v>540</v>
      </c>
      <c r="C13" s="40" t="n">
        <f aca="false">C7+C8+C10+C11+C12</f>
        <v>0</v>
      </c>
      <c r="D13" s="40" t="n">
        <f aca="false">D7+D8+D10+D11+D12</f>
        <v>0</v>
      </c>
      <c r="E13" s="40" t="n">
        <f aca="false">E7+E8+E10+E11+E12</f>
        <v>-21400000</v>
      </c>
      <c r="F13" s="40" t="n">
        <f aca="false">F7+F8+F10+F11+F12</f>
        <v>593050.017391305</v>
      </c>
      <c r="G13" s="40" t="n">
        <f aca="false">G7+G8+G10+G11+G12</f>
        <v>1158531.3637913</v>
      </c>
      <c r="H13" s="40" t="n">
        <f aca="false">H7+H8+H10+H11+H12</f>
        <v>683268.890705043</v>
      </c>
      <c r="I13" s="40" t="n">
        <f aca="false">I7+I8+I10+I11+I12</f>
        <v>1162338.20807619</v>
      </c>
      <c r="J13" s="40" t="n">
        <f aca="false">J7+J8+J10+J11+J12</f>
        <v>37987.5974847274</v>
      </c>
      <c r="K13" s="40" t="n">
        <f aca="false">K7+K8+K10+K11+K12</f>
        <v>171780.796603876</v>
      </c>
      <c r="L13" s="40" t="n">
        <f aca="false">L7+L8+L10+L11+L12</f>
        <v>1164176.89343861</v>
      </c>
      <c r="M13" s="40" t="n">
        <f aca="false">M7+M8+M10+M11+M12</f>
        <v>548700.372314817</v>
      </c>
      <c r="N13" s="40" t="n">
        <f aca="false">N7+N8+N10+N11+N12</f>
        <v>1162467.75658319</v>
      </c>
      <c r="O13" s="40" t="n">
        <f aca="false">O7+O8+O10+O11+O12</f>
        <v>10425383.5027838</v>
      </c>
      <c r="P13" s="3"/>
    </row>
    <row r="14" customFormat="false" ht="15" hidden="false" customHeight="false" outlineLevel="0" collapsed="false">
      <c r="A14" s="3"/>
      <c r="B14" s="4" t="s">
        <v>541</v>
      </c>
      <c r="C14" s="58" t="n">
        <v>0</v>
      </c>
      <c r="D14" s="58" t="n">
        <v>0</v>
      </c>
      <c r="E14" s="58" t="n">
        <v>0</v>
      </c>
      <c r="F14" s="58" t="n">
        <f aca="false">IF(F9=0,0,(Projecao!F183+Projecao!F187)/(-F10+E8*(1-Premissas!$B$25)/Premissas!$B$24))</f>
        <v>0</v>
      </c>
      <c r="G14" s="58" t="n">
        <f aca="false">IF(G9=0,0,(Projecao!G183+Projecao!G187)/(-G10+E8*(1-Premissas!$B$25)/Premissas!$B$24))</f>
        <v>0</v>
      </c>
      <c r="H14" s="58" t="n">
        <f aca="false">IF(H9=0,0,(Projecao!H183+Projecao!H187)/(-H10+E8*(1-Premissas!$B$25)/Premissas!$B$24))</f>
        <v>0</v>
      </c>
      <c r="I14" s="58" t="n">
        <f aca="false">IF(I9=0,0,(Projecao!I183+Projecao!I187)/(-I10+E8*(1-Premissas!$B$25)/Premissas!$B$24))</f>
        <v>0</v>
      </c>
      <c r="J14" s="58" t="n">
        <f aca="false">IF(J9=0,0,(Projecao!J183+Projecao!J187)/(-J10+E8*(1-Premissas!$B$25)/Premissas!$B$24))</f>
        <v>0</v>
      </c>
      <c r="K14" s="58" t="n">
        <f aca="false">IF(K9=0,0,(Projecao!K183+Projecao!K187)/(-K10+E8*(1-Premissas!$B$25)/Premissas!$B$24))</f>
        <v>0</v>
      </c>
      <c r="L14" s="58" t="n">
        <f aca="false">IF(L9=0,0,(Projecao!L183+Projecao!L187)/(-L10+E8*(1-Premissas!$B$25)/Premissas!$B$24))</f>
        <v>0</v>
      </c>
      <c r="M14" s="58" t="n">
        <f aca="false">IF(M9=0,0,(Projecao!M183+Projecao!M187)/(-M10+E8*(1-Premissas!$B$25)/Premissas!$B$24))</f>
        <v>0</v>
      </c>
      <c r="N14" s="58" t="n">
        <f aca="false">IF(N9=0,0,(Projecao!N183+Projecao!N187)/(-N10+E8*(1-Premissas!$B$25)/Premissas!$B$24))</f>
        <v>0</v>
      </c>
      <c r="O14" s="58" t="n">
        <f aca="false">IF(O9=0,0,(Projecao!O183+Projecao!O187)/(-O10+E8*(1-Premissas!$B$25)/Premissas!$B$24))</f>
        <v>0</v>
      </c>
      <c r="P14" s="3"/>
    </row>
    <row r="15" customFormat="false" ht="15" hidden="false" customHeight="false" outlineLevel="0" collapsed="false">
      <c r="A15" s="3"/>
      <c r="B15" s="14" t="s">
        <v>542</v>
      </c>
      <c r="C15" s="40" t="n">
        <f aca="false">-SUM(C13:E13)</f>
        <v>21400000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false" outlineLevel="0" collapsed="false">
      <c r="A16" s="3"/>
      <c r="B16" s="14" t="s">
        <v>543</v>
      </c>
      <c r="C16" s="47" t="n">
        <f aca="false">IFERROR(IRR(C13:O13,0.05),IFERROR(IRR(C13:O13,-0.1),IF(SUM(C13:O13)&lt;0,"negativa","n/d")))</f>
        <v>-0.0269687823357965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5" hidden="false" customHeight="false" outlineLevel="0" collapsed="false">
      <c r="A17" s="3"/>
      <c r="B17" s="14" t="s">
        <v>544</v>
      </c>
      <c r="C17" s="59" t="s">
        <v>524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3"/>
      <c r="B18" s="14" t="s">
        <v>545</v>
      </c>
      <c r="C18" s="48" t="n">
        <f aca="false">-(G10+G11)</f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false" outlineLevel="0" collapsed="false">
      <c r="A19" s="3"/>
      <c r="B19" s="14" t="s">
        <v>546</v>
      </c>
      <c r="C19" s="48" t="n">
        <f aca="false">MIN(F13:N13)</f>
        <v>37987.5974847274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false" outlineLevel="0" collapsed="false">
      <c r="A22" s="3"/>
      <c r="B22" s="19" t="s">
        <v>547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3"/>
      <c r="B23" s="3" t="s">
        <v>533</v>
      </c>
      <c r="C23" s="24" t="n">
        <v>0.5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" hidden="false" customHeight="false" outlineLevel="0" collapsed="false">
      <c r="A24" s="3"/>
      <c r="B24" s="14" t="s">
        <v>398</v>
      </c>
      <c r="C24" s="14" t="n">
        <v>-2</v>
      </c>
      <c r="D24" s="14" t="n">
        <v>-1</v>
      </c>
      <c r="E24" s="14" t="n">
        <v>0</v>
      </c>
      <c r="F24" s="14" t="n">
        <v>1</v>
      </c>
      <c r="G24" s="14" t="n">
        <v>2</v>
      </c>
      <c r="H24" s="14" t="n">
        <v>3</v>
      </c>
      <c r="I24" s="14" t="n">
        <v>4</v>
      </c>
      <c r="J24" s="14" t="n">
        <v>5</v>
      </c>
      <c r="K24" s="14" t="n">
        <v>6</v>
      </c>
      <c r="L24" s="14" t="n">
        <v>7</v>
      </c>
      <c r="M24" s="14" t="n">
        <v>8</v>
      </c>
      <c r="N24" s="14" t="n">
        <v>9</v>
      </c>
      <c r="O24" s="14" t="n">
        <v>10</v>
      </c>
      <c r="P24" s="3"/>
    </row>
    <row r="25" customFormat="false" ht="15" hidden="false" customHeight="false" outlineLevel="0" collapsed="false">
      <c r="A25" s="3"/>
      <c r="B25" s="4" t="s">
        <v>534</v>
      </c>
      <c r="C25" s="20" t="n">
        <f aca="false">Projecao!C192</f>
        <v>0</v>
      </c>
      <c r="D25" s="20" t="n">
        <f aca="false">Projecao!D192</f>
        <v>0</v>
      </c>
      <c r="E25" s="20" t="n">
        <f aca="false">Projecao!E192</f>
        <v>-21400000</v>
      </c>
      <c r="F25" s="20" t="n">
        <f aca="false">Projecao!F192</f>
        <v>593050.017391305</v>
      </c>
      <c r="G25" s="20" t="n">
        <f aca="false">Projecao!G192</f>
        <v>1158531.3637913</v>
      </c>
      <c r="H25" s="20" t="n">
        <f aca="false">Projecao!H192</f>
        <v>683268.890705043</v>
      </c>
      <c r="I25" s="20" t="n">
        <f aca="false">Projecao!I192</f>
        <v>1162338.20807619</v>
      </c>
      <c r="J25" s="20" t="n">
        <f aca="false">Projecao!J192</f>
        <v>37987.5974847274</v>
      </c>
      <c r="K25" s="20" t="n">
        <f aca="false">Projecao!K192</f>
        <v>171780.796603876</v>
      </c>
      <c r="L25" s="20" t="n">
        <f aca="false">Projecao!L192</f>
        <v>1164176.89343861</v>
      </c>
      <c r="M25" s="20" t="n">
        <f aca="false">Projecao!M192</f>
        <v>548700.372314817</v>
      </c>
      <c r="N25" s="20" t="n">
        <f aca="false">Projecao!N192</f>
        <v>1162467.75658319</v>
      </c>
      <c r="O25" s="20" t="n">
        <f aca="false">Projecao!O192</f>
        <v>10425383.5027838</v>
      </c>
      <c r="P25" s="3"/>
    </row>
    <row r="26" customFormat="false" ht="15" hidden="false" customHeight="false" outlineLevel="0" collapsed="false">
      <c r="A26" s="3"/>
      <c r="B26" s="4" t="s">
        <v>535</v>
      </c>
      <c r="C26" s="36" t="n">
        <v>0</v>
      </c>
      <c r="D26" s="36" t="n">
        <v>0</v>
      </c>
      <c r="E26" s="36" t="n">
        <f aca="false">Projecao!$C$205*$C$23</f>
        <v>10700000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6" t="n">
        <v>0</v>
      </c>
      <c r="O26" s="36" t="n">
        <v>0</v>
      </c>
      <c r="P26" s="3"/>
    </row>
    <row r="27" customFormat="false" ht="15" hidden="false" customHeight="false" outlineLevel="0" collapsed="false">
      <c r="A27" s="3"/>
      <c r="B27" s="4" t="s">
        <v>536</v>
      </c>
      <c r="C27" s="36" t="n">
        <v>0</v>
      </c>
      <c r="D27" s="36" t="n">
        <v>0</v>
      </c>
      <c r="E27" s="36" t="n">
        <v>0</v>
      </c>
      <c r="F27" s="36" t="n">
        <f aca="false">E26</f>
        <v>10700000</v>
      </c>
      <c r="G27" s="36" t="n">
        <f aca="false">F27-F29</f>
        <v>11449000</v>
      </c>
      <c r="H27" s="36" t="n">
        <f aca="false">G27-G29</f>
        <v>12198000</v>
      </c>
      <c r="I27" s="36" t="n">
        <f aca="false">H27-H29</f>
        <v>12947000</v>
      </c>
      <c r="J27" s="36" t="n">
        <f aca="false">I27-I29</f>
        <v>13696000</v>
      </c>
      <c r="K27" s="36" t="n">
        <f aca="false">J27-J29</f>
        <v>14445000</v>
      </c>
      <c r="L27" s="36" t="n">
        <f aca="false">K27-K29</f>
        <v>15194000</v>
      </c>
      <c r="M27" s="36" t="n">
        <f aca="false">L27-L29</f>
        <v>15943000</v>
      </c>
      <c r="N27" s="36" t="n">
        <f aca="false">M27-M29</f>
        <v>16692000</v>
      </c>
      <c r="O27" s="36" t="n">
        <f aca="false">N27-N29</f>
        <v>17441000</v>
      </c>
      <c r="P27" s="3"/>
    </row>
    <row r="28" customFormat="false" ht="15" hidden="false" customHeight="false" outlineLevel="0" collapsed="false">
      <c r="A28" s="3"/>
      <c r="B28" s="4" t="s">
        <v>537</v>
      </c>
      <c r="C28" s="36" t="n">
        <f aca="false">-C27*Premissas!$B$23</f>
        <v>-0</v>
      </c>
      <c r="D28" s="36" t="n">
        <f aca="false">-D27*Premissas!$B$23</f>
        <v>-0</v>
      </c>
      <c r="E28" s="36" t="n">
        <f aca="false">-E27*Premissas!$B$23</f>
        <v>-0</v>
      </c>
      <c r="F28" s="36" t="n">
        <f aca="false">-F27*Premissas!$B$23</f>
        <v>-642000</v>
      </c>
      <c r="G28" s="36" t="n">
        <f aca="false">-G27*Premissas!$B$23</f>
        <v>-686940</v>
      </c>
      <c r="H28" s="36" t="n">
        <f aca="false">-H27*Premissas!$B$23</f>
        <v>-731880</v>
      </c>
      <c r="I28" s="36" t="n">
        <f aca="false">-I27*Premissas!$B$23</f>
        <v>-776820</v>
      </c>
      <c r="J28" s="36" t="n">
        <f aca="false">-J27*Premissas!$B$23</f>
        <v>-821760</v>
      </c>
      <c r="K28" s="36" t="n">
        <f aca="false">-K27*Premissas!$B$23</f>
        <v>-866700</v>
      </c>
      <c r="L28" s="36" t="n">
        <f aca="false">-L27*Premissas!$B$23</f>
        <v>-911640</v>
      </c>
      <c r="M28" s="36" t="n">
        <f aca="false">-M27*Premissas!$B$23</f>
        <v>-956580</v>
      </c>
      <c r="N28" s="36" t="n">
        <f aca="false">-N27*Premissas!$B$23</f>
        <v>-1001520</v>
      </c>
      <c r="O28" s="36" t="n">
        <f aca="false">-O27*Premissas!$B$23</f>
        <v>-1046460</v>
      </c>
      <c r="P28" s="3"/>
    </row>
    <row r="29" customFormat="false" ht="15" hidden="false" customHeight="false" outlineLevel="0" collapsed="false">
      <c r="A29" s="3"/>
      <c r="B29" s="4" t="s">
        <v>538</v>
      </c>
      <c r="C29" s="36" t="n">
        <v>0</v>
      </c>
      <c r="D29" s="36" t="n">
        <v>0</v>
      </c>
      <c r="E29" s="36" t="n">
        <v>0</v>
      </c>
      <c r="F29" s="36" t="n">
        <f aca="false">-IF(F$24&lt;Premissas!$B$24,E26*(1-Premissas!$B$25)/Premissas!$B$24,F27)</f>
        <v>-749000</v>
      </c>
      <c r="G29" s="36" t="n">
        <f aca="false">-IF(G$24&lt;Premissas!$B$24,E26*(1-Premissas!$B$25)/Premissas!$B$24,G27)</f>
        <v>-749000</v>
      </c>
      <c r="H29" s="36" t="n">
        <f aca="false">-IF(H$24&lt;Premissas!$B$24,E26*(1-Premissas!$B$25)/Premissas!$B$24,H27)</f>
        <v>-749000</v>
      </c>
      <c r="I29" s="36" t="n">
        <f aca="false">-IF(I$24&lt;Premissas!$B$24,E26*(1-Premissas!$B$25)/Premissas!$B$24,I27)</f>
        <v>-749000</v>
      </c>
      <c r="J29" s="36" t="n">
        <f aca="false">-IF(J$24&lt;Premissas!$B$24,E26*(1-Premissas!$B$25)/Premissas!$B$24,J27)</f>
        <v>-749000</v>
      </c>
      <c r="K29" s="36" t="n">
        <f aca="false">-IF(K$24&lt;Premissas!$B$24,E26*(1-Premissas!$B$25)/Premissas!$B$24,K27)</f>
        <v>-749000</v>
      </c>
      <c r="L29" s="36" t="n">
        <f aca="false">-IF(L$24&lt;Premissas!$B$24,E26*(1-Premissas!$B$25)/Premissas!$B$24,L27)</f>
        <v>-749000</v>
      </c>
      <c r="M29" s="36" t="n">
        <f aca="false">-IF(M$24&lt;Premissas!$B$24,E26*(1-Premissas!$B$25)/Premissas!$B$24,M27)</f>
        <v>-749000</v>
      </c>
      <c r="N29" s="36" t="n">
        <f aca="false">-IF(N$24&lt;Premissas!$B$24,E26*(1-Premissas!$B$25)/Premissas!$B$24,N27)</f>
        <v>-749000</v>
      </c>
      <c r="O29" s="36" t="n">
        <f aca="false">-IF(O$24&lt;Premissas!$B$24,E26*(1-Premissas!$B$25)/Premissas!$B$24,O27)</f>
        <v>-17441000</v>
      </c>
      <c r="P29" s="3"/>
    </row>
    <row r="30" customFormat="false" ht="15" hidden="false" customHeight="false" outlineLevel="0" collapsed="false">
      <c r="A30" s="3"/>
      <c r="B30" s="4" t="s">
        <v>539</v>
      </c>
      <c r="C30" s="36" t="n">
        <v>0</v>
      </c>
      <c r="D30" s="36" t="n">
        <v>0</v>
      </c>
      <c r="E30" s="36" t="n">
        <v>0</v>
      </c>
      <c r="F30" s="36" t="n">
        <f aca="false">MIN(-F28,MAX(0,Projecao!F186))*Premissas!$B$11</f>
        <v>0</v>
      </c>
      <c r="G30" s="36" t="n">
        <f aca="false">MIN(-G28,MAX(0,Projecao!G186))*Premissas!$B$11</f>
        <v>159156.763165217</v>
      </c>
      <c r="H30" s="36" t="n">
        <f aca="false">MIN(-H28,MAX(0,Projecao!H186))*Premissas!$B$11</f>
        <v>163666.980060174</v>
      </c>
      <c r="I30" s="36" t="n">
        <f aca="false">MIN(-I28,MAX(0,Projecao!I186))*Premissas!$B$11</f>
        <v>168033.041311978</v>
      </c>
      <c r="J30" s="36" t="n">
        <f aca="false">MIN(-J28,MAX(0,Projecao!J186))*Premissas!$B$11</f>
        <v>172243.635697587</v>
      </c>
      <c r="K30" s="36" t="n">
        <f aca="false">MIN(-K28,MAX(0,Projecao!K186))*Premissas!$B$11</f>
        <v>176286.937993421</v>
      </c>
      <c r="L30" s="36" t="n">
        <f aca="false">MIN(-L28,MAX(0,Projecao!L186))*Premissas!$B$11</f>
        <v>180150.589188752</v>
      </c>
      <c r="M30" s="36" t="n">
        <f aca="false">MIN(-M28,MAX(0,Projecao!M186))*Premissas!$B$11</f>
        <v>183821.675996332</v>
      </c>
      <c r="N30" s="36" t="n">
        <f aca="false">MIN(-N28,MAX(0,Projecao!N186))*Premissas!$B$11</f>
        <v>187286.709636436</v>
      </c>
      <c r="O30" s="36" t="n">
        <f aca="false">MIN(-O28,MAX(0,Projecao!O186))*Premissas!$B$11</f>
        <v>190531.60386975</v>
      </c>
      <c r="P30" s="3"/>
    </row>
    <row r="31" customFormat="false" ht="15" hidden="false" customHeight="false" outlineLevel="0" collapsed="false">
      <c r="A31" s="3"/>
      <c r="B31" s="14" t="s">
        <v>540</v>
      </c>
      <c r="C31" s="40" t="n">
        <f aca="false">C25+C26+C28+C29+C30</f>
        <v>0</v>
      </c>
      <c r="D31" s="40" t="n">
        <f aca="false">D25+D26+D28+D29+D30</f>
        <v>0</v>
      </c>
      <c r="E31" s="40" t="n">
        <f aca="false">E25+E26+E28+E29+E30</f>
        <v>-10700000</v>
      </c>
      <c r="F31" s="40" t="n">
        <f aca="false">F25+F26+F28+F29+F30</f>
        <v>-797949.982608695</v>
      </c>
      <c r="G31" s="40" t="n">
        <f aca="false">G25+G26+G28+G29+G30</f>
        <v>-118251.873043479</v>
      </c>
      <c r="H31" s="40" t="n">
        <f aca="false">H25+H26+H28+H29+H30</f>
        <v>-633944.129234783</v>
      </c>
      <c r="I31" s="40" t="n">
        <f aca="false">I25+I26+I28+I29+I30</f>
        <v>-195448.750611828</v>
      </c>
      <c r="J31" s="40" t="n">
        <f aca="false">J25+J26+J28+J29+J30</f>
        <v>-1360528.76681769</v>
      </c>
      <c r="K31" s="40" t="n">
        <f aca="false">K25+K26+K28+K29+K30</f>
        <v>-1267632.2654027</v>
      </c>
      <c r="L31" s="40" t="n">
        <f aca="false">L25+L26+L28+L29+L30</f>
        <v>-316312.51737264</v>
      </c>
      <c r="M31" s="40" t="n">
        <f aca="false">M25+M26+M28+M29+M30</f>
        <v>-973057.951688851</v>
      </c>
      <c r="N31" s="40" t="n">
        <f aca="false">N25+N26+N28+N29+N30</f>
        <v>-400765.533780373</v>
      </c>
      <c r="O31" s="40" t="n">
        <f aca="false">O25+O26+O28+O29+O30</f>
        <v>-7871544.89334648</v>
      </c>
      <c r="P31" s="3"/>
    </row>
    <row r="32" customFormat="false" ht="15" hidden="false" customHeight="false" outlineLevel="0" collapsed="false">
      <c r="A32" s="3"/>
      <c r="B32" s="4" t="s">
        <v>541</v>
      </c>
      <c r="C32" s="58" t="n">
        <v>0</v>
      </c>
      <c r="D32" s="58" t="n">
        <v>0</v>
      </c>
      <c r="E32" s="58" t="n">
        <v>0</v>
      </c>
      <c r="F32" s="58" t="n">
        <f aca="false">IF(F27=0,0,(Projecao!F183+Projecao!F187)/(-F28+E26*(1-Premissas!$B$25)/Premissas!$B$24))</f>
        <v>0.580194117463195</v>
      </c>
      <c r="G32" s="58" t="n">
        <f aca="false">IF(G27=0,0,(Projecao!G183+Projecao!G187)/(-G28+E26*(1-Premissas!$B$25)/Premissas!$B$24))</f>
        <v>0.960312661943607</v>
      </c>
      <c r="H32" s="58" t="n">
        <f aca="false">IF(H27=0,0,(Projecao!H183+Projecao!H187)/(-H28+E26*(1-Premissas!$B$25)/Premissas!$B$24))</f>
        <v>0.937082336654586</v>
      </c>
      <c r="I32" s="58" t="n">
        <f aca="false">IF(I27=0,0,(Projecao!I183+Projecao!I187)/(-I28+E26*(1-Premissas!$B$25)/Premissas!$B$24))</f>
        <v>0.915037020144049</v>
      </c>
      <c r="J32" s="58" t="n">
        <f aca="false">IF(J27=0,0,(Projecao!J183+Projecao!J187)/(-J28+E26*(1-Premissas!$B$25)/Premissas!$B$24))</f>
        <v>0.894061023214703</v>
      </c>
      <c r="K32" s="58" t="n">
        <f aca="false">IF(K27=0,0,(Projecao!K183+Projecao!K187)/(-K28+E26*(1-Premissas!$B$25)/Premissas!$B$24))</f>
        <v>0.874050910506206</v>
      </c>
      <c r="L32" s="58" t="n">
        <f aca="false">IF(L27=0,0,(Projecao!L183+Projecao!L187)/(-L28+E26*(1-Premissas!$B$25)/Premissas!$B$24))</f>
        <v>0.854913819308106</v>
      </c>
      <c r="M32" s="58" t="n">
        <f aca="false">IF(M27=0,0,(Projecao!M183+Projecao!M187)/(-M28+E26*(1-Premissas!$B$25)/Premissas!$B$24))</f>
        <v>0.836566043356614</v>
      </c>
      <c r="N32" s="58" t="n">
        <f aca="false">IF(N27=0,0,(Projecao!N183+Projecao!N187)/(-N28+E26*(1-Premissas!$B$25)/Premissas!$B$24))</f>
        <v>0.818931833969415</v>
      </c>
      <c r="O32" s="58" t="n">
        <f aca="false">IF(O27=0,0,(Projecao!O183+Projecao!O187)/(-O28+E26*(1-Premissas!$B$25)/Premissas!$B$24))</f>
        <v>0.801942380412483</v>
      </c>
      <c r="P32" s="3"/>
    </row>
    <row r="33" customFormat="false" ht="15" hidden="false" customHeight="false" outlineLevel="0" collapsed="false">
      <c r="A33" s="3"/>
      <c r="B33" s="14" t="s">
        <v>542</v>
      </c>
      <c r="C33" s="40" t="n">
        <f aca="false">-SUM(C31:E31)</f>
        <v>10700000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" hidden="false" customHeight="false" outlineLevel="0" collapsed="false">
      <c r="A34" s="3"/>
      <c r="B34" s="14" t="s">
        <v>543</v>
      </c>
      <c r="C34" s="47" t="str">
        <f aca="false">IFERROR(IRR(C31:O31,0.05),IFERROR(IRR(C31:O31,-0.1),IF(SUM(C31:O31)&lt;0,"negativa","n/d")))</f>
        <v>negativa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" hidden="false" customHeight="false" outlineLevel="0" collapsed="false">
      <c r="A35" s="3"/>
      <c r="B35" s="14" t="s">
        <v>544</v>
      </c>
      <c r="C35" s="59" t="n">
        <f aca="false">MIN(F32:N32)</f>
        <v>0.580194117463195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customFormat="false" ht="15" hidden="false" customHeight="false" outlineLevel="0" collapsed="false">
      <c r="A36" s="3"/>
      <c r="B36" s="14" t="s">
        <v>545</v>
      </c>
      <c r="C36" s="48" t="n">
        <f aca="false">-(G28+G29)</f>
        <v>1435940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customFormat="false" ht="15" hidden="false" customHeight="false" outlineLevel="0" collapsed="false">
      <c r="A37" s="3"/>
      <c r="B37" s="14" t="s">
        <v>546</v>
      </c>
      <c r="C37" s="48" t="n">
        <f aca="false">MIN(F31:N31)</f>
        <v>-1360528.76681769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5" hidden="false" customHeight="false" outlineLevel="0" collapsed="false">
      <c r="A40" s="3"/>
      <c r="B40" s="19" t="s">
        <v>548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3"/>
      <c r="B41" s="3" t="s">
        <v>533</v>
      </c>
      <c r="C41" s="24" t="n">
        <v>0.7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5" hidden="false" customHeight="false" outlineLevel="0" collapsed="false">
      <c r="A42" s="3"/>
      <c r="B42" s="14" t="s">
        <v>398</v>
      </c>
      <c r="C42" s="14" t="n">
        <v>-2</v>
      </c>
      <c r="D42" s="14" t="n">
        <v>-1</v>
      </c>
      <c r="E42" s="14" t="n">
        <v>0</v>
      </c>
      <c r="F42" s="14" t="n">
        <v>1</v>
      </c>
      <c r="G42" s="14" t="n">
        <v>2</v>
      </c>
      <c r="H42" s="14" t="n">
        <v>3</v>
      </c>
      <c r="I42" s="14" t="n">
        <v>4</v>
      </c>
      <c r="J42" s="14" t="n">
        <v>5</v>
      </c>
      <c r="K42" s="14" t="n">
        <v>6</v>
      </c>
      <c r="L42" s="14" t="n">
        <v>7</v>
      </c>
      <c r="M42" s="14" t="n">
        <v>8</v>
      </c>
      <c r="N42" s="14" t="n">
        <v>9</v>
      </c>
      <c r="O42" s="14" t="n">
        <v>10</v>
      </c>
      <c r="P42" s="3"/>
    </row>
    <row r="43" customFormat="false" ht="15" hidden="false" customHeight="false" outlineLevel="0" collapsed="false">
      <c r="A43" s="3"/>
      <c r="B43" s="4" t="s">
        <v>534</v>
      </c>
      <c r="C43" s="20" t="n">
        <f aca="false">Projecao!C192</f>
        <v>0</v>
      </c>
      <c r="D43" s="20" t="n">
        <f aca="false">Projecao!D192</f>
        <v>0</v>
      </c>
      <c r="E43" s="20" t="n">
        <f aca="false">Projecao!E192</f>
        <v>-21400000</v>
      </c>
      <c r="F43" s="20" t="n">
        <f aca="false">Projecao!F192</f>
        <v>593050.017391305</v>
      </c>
      <c r="G43" s="20" t="n">
        <f aca="false">Projecao!G192</f>
        <v>1158531.3637913</v>
      </c>
      <c r="H43" s="20" t="n">
        <f aca="false">Projecao!H192</f>
        <v>683268.890705043</v>
      </c>
      <c r="I43" s="20" t="n">
        <f aca="false">Projecao!I192</f>
        <v>1162338.20807619</v>
      </c>
      <c r="J43" s="20" t="n">
        <f aca="false">Projecao!J192</f>
        <v>37987.5974847274</v>
      </c>
      <c r="K43" s="20" t="n">
        <f aca="false">Projecao!K192</f>
        <v>171780.796603876</v>
      </c>
      <c r="L43" s="20" t="n">
        <f aca="false">Projecao!L192</f>
        <v>1164176.89343861</v>
      </c>
      <c r="M43" s="20" t="n">
        <f aca="false">Projecao!M192</f>
        <v>548700.372314817</v>
      </c>
      <c r="N43" s="20" t="n">
        <f aca="false">Projecao!N192</f>
        <v>1162467.75658319</v>
      </c>
      <c r="O43" s="20" t="n">
        <f aca="false">Projecao!O192</f>
        <v>10425383.5027838</v>
      </c>
      <c r="P43" s="3"/>
    </row>
    <row r="44" customFormat="false" ht="15" hidden="false" customHeight="false" outlineLevel="0" collapsed="false">
      <c r="A44" s="3"/>
      <c r="B44" s="4" t="s">
        <v>535</v>
      </c>
      <c r="C44" s="36" t="n">
        <v>0</v>
      </c>
      <c r="D44" s="36" t="n">
        <v>0</v>
      </c>
      <c r="E44" s="36" t="n">
        <f aca="false">Projecao!$C$205*$C$41</f>
        <v>14980000</v>
      </c>
      <c r="F44" s="36" t="n">
        <v>0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6" t="n">
        <v>0</v>
      </c>
      <c r="O44" s="36" t="n">
        <v>0</v>
      </c>
      <c r="P44" s="3"/>
    </row>
    <row r="45" customFormat="false" ht="15" hidden="false" customHeight="false" outlineLevel="0" collapsed="false">
      <c r="A45" s="3"/>
      <c r="B45" s="4" t="s">
        <v>536</v>
      </c>
      <c r="C45" s="36" t="n">
        <v>0</v>
      </c>
      <c r="D45" s="36" t="n">
        <v>0</v>
      </c>
      <c r="E45" s="36" t="n">
        <v>0</v>
      </c>
      <c r="F45" s="36" t="n">
        <f aca="false">E44</f>
        <v>14980000</v>
      </c>
      <c r="G45" s="36" t="n">
        <f aca="false">F45-F47</f>
        <v>16028600</v>
      </c>
      <c r="H45" s="36" t="n">
        <f aca="false">G45-G47</f>
        <v>17077200</v>
      </c>
      <c r="I45" s="36" t="n">
        <f aca="false">H45-H47</f>
        <v>18125800</v>
      </c>
      <c r="J45" s="36" t="n">
        <f aca="false">I45-I47</f>
        <v>19174400</v>
      </c>
      <c r="K45" s="36" t="n">
        <f aca="false">J45-J47</f>
        <v>20223000</v>
      </c>
      <c r="L45" s="36" t="n">
        <f aca="false">K45-K47</f>
        <v>21271600</v>
      </c>
      <c r="M45" s="36" t="n">
        <f aca="false">L45-L47</f>
        <v>22320200</v>
      </c>
      <c r="N45" s="36" t="n">
        <f aca="false">M45-M47</f>
        <v>23368800</v>
      </c>
      <c r="O45" s="36" t="n">
        <f aca="false">N45-N47</f>
        <v>24417400</v>
      </c>
      <c r="P45" s="3"/>
    </row>
    <row r="46" customFormat="false" ht="15" hidden="false" customHeight="false" outlineLevel="0" collapsed="false">
      <c r="A46" s="3"/>
      <c r="B46" s="4" t="s">
        <v>537</v>
      </c>
      <c r="C46" s="36" t="n">
        <f aca="false">-C45*Premissas!$B$23</f>
        <v>-0</v>
      </c>
      <c r="D46" s="36" t="n">
        <f aca="false">-D45*Premissas!$B$23</f>
        <v>-0</v>
      </c>
      <c r="E46" s="36" t="n">
        <f aca="false">-E45*Premissas!$B$23</f>
        <v>-0</v>
      </c>
      <c r="F46" s="36" t="n">
        <f aca="false">-F45*Premissas!$B$23</f>
        <v>-898800</v>
      </c>
      <c r="G46" s="36" t="n">
        <f aca="false">-G45*Premissas!$B$23</f>
        <v>-961716</v>
      </c>
      <c r="H46" s="36" t="n">
        <f aca="false">-H45*Premissas!$B$23</f>
        <v>-1024632</v>
      </c>
      <c r="I46" s="36" t="n">
        <f aca="false">-I45*Premissas!$B$23</f>
        <v>-1087548</v>
      </c>
      <c r="J46" s="36" t="n">
        <f aca="false">-J45*Premissas!$B$23</f>
        <v>-1150464</v>
      </c>
      <c r="K46" s="36" t="n">
        <f aca="false">-K45*Premissas!$B$23</f>
        <v>-1213380</v>
      </c>
      <c r="L46" s="36" t="n">
        <f aca="false">-L45*Premissas!$B$23</f>
        <v>-1276296</v>
      </c>
      <c r="M46" s="36" t="n">
        <f aca="false">-M45*Premissas!$B$23</f>
        <v>-1339212</v>
      </c>
      <c r="N46" s="36" t="n">
        <f aca="false">-N45*Premissas!$B$23</f>
        <v>-1402128</v>
      </c>
      <c r="O46" s="36" t="n">
        <f aca="false">-O45*Premissas!$B$23</f>
        <v>-1465044</v>
      </c>
      <c r="P46" s="3"/>
    </row>
    <row r="47" customFormat="false" ht="15" hidden="false" customHeight="false" outlineLevel="0" collapsed="false">
      <c r="A47" s="3"/>
      <c r="B47" s="4" t="s">
        <v>538</v>
      </c>
      <c r="C47" s="36" t="n">
        <v>0</v>
      </c>
      <c r="D47" s="36" t="n">
        <v>0</v>
      </c>
      <c r="E47" s="36" t="n">
        <v>0</v>
      </c>
      <c r="F47" s="36" t="n">
        <f aca="false">-IF(F$42&lt;Premissas!$B$24,E44*(1-Premissas!$B$25)/Premissas!$B$24,F45)</f>
        <v>-1048600</v>
      </c>
      <c r="G47" s="36" t="n">
        <f aca="false">-IF(G$42&lt;Premissas!$B$24,E44*(1-Premissas!$B$25)/Premissas!$B$24,G45)</f>
        <v>-1048600</v>
      </c>
      <c r="H47" s="36" t="n">
        <f aca="false">-IF(H$42&lt;Premissas!$B$24,E44*(1-Premissas!$B$25)/Premissas!$B$24,H45)</f>
        <v>-1048600</v>
      </c>
      <c r="I47" s="36" t="n">
        <f aca="false">-IF(I$42&lt;Premissas!$B$24,E44*(1-Premissas!$B$25)/Premissas!$B$24,I45)</f>
        <v>-1048600</v>
      </c>
      <c r="J47" s="36" t="n">
        <f aca="false">-IF(J$42&lt;Premissas!$B$24,E44*(1-Premissas!$B$25)/Premissas!$B$24,J45)</f>
        <v>-1048600</v>
      </c>
      <c r="K47" s="36" t="n">
        <f aca="false">-IF(K$42&lt;Premissas!$B$24,E44*(1-Premissas!$B$25)/Premissas!$B$24,K45)</f>
        <v>-1048600</v>
      </c>
      <c r="L47" s="36" t="n">
        <f aca="false">-IF(L$42&lt;Premissas!$B$24,E44*(1-Premissas!$B$25)/Premissas!$B$24,L45)</f>
        <v>-1048600</v>
      </c>
      <c r="M47" s="36" t="n">
        <f aca="false">-IF(M$42&lt;Premissas!$B$24,E44*(1-Premissas!$B$25)/Premissas!$B$24,M45)</f>
        <v>-1048600</v>
      </c>
      <c r="N47" s="36" t="n">
        <f aca="false">-IF(N$42&lt;Premissas!$B$24,E44*(1-Premissas!$B$25)/Premissas!$B$24,N45)</f>
        <v>-1048600</v>
      </c>
      <c r="O47" s="36" t="n">
        <f aca="false">-IF(O$42&lt;Premissas!$B$24,E44*(1-Premissas!$B$25)/Premissas!$B$24,O45)</f>
        <v>-24417400</v>
      </c>
      <c r="P47" s="3"/>
    </row>
    <row r="48" customFormat="false" ht="15" hidden="false" customHeight="false" outlineLevel="0" collapsed="false">
      <c r="A48" s="3"/>
      <c r="B48" s="4" t="s">
        <v>539</v>
      </c>
      <c r="C48" s="36" t="n">
        <v>0</v>
      </c>
      <c r="D48" s="36" t="n">
        <v>0</v>
      </c>
      <c r="E48" s="36" t="n">
        <v>0</v>
      </c>
      <c r="F48" s="36" t="n">
        <f aca="false">MIN(-F46,MAX(0,Projecao!F186))*Premissas!$B$11</f>
        <v>0</v>
      </c>
      <c r="G48" s="36" t="n">
        <f aca="false">MIN(-G46,MAX(0,Projecao!G186))*Premissas!$B$11</f>
        <v>159156.763165217</v>
      </c>
      <c r="H48" s="36" t="n">
        <f aca="false">MIN(-H46,MAX(0,Projecao!H186))*Premissas!$B$11</f>
        <v>163666.980060174</v>
      </c>
      <c r="I48" s="36" t="n">
        <f aca="false">MIN(-I46,MAX(0,Projecao!I186))*Premissas!$B$11</f>
        <v>168033.041311978</v>
      </c>
      <c r="J48" s="36" t="n">
        <f aca="false">MIN(-J46,MAX(0,Projecao!J186))*Premissas!$B$11</f>
        <v>172243.635697587</v>
      </c>
      <c r="K48" s="36" t="n">
        <f aca="false">MIN(-K46,MAX(0,Projecao!K186))*Premissas!$B$11</f>
        <v>176286.937993421</v>
      </c>
      <c r="L48" s="36" t="n">
        <f aca="false">MIN(-L46,MAX(0,Projecao!L186))*Premissas!$B$11</f>
        <v>180150.589188752</v>
      </c>
      <c r="M48" s="36" t="n">
        <f aca="false">MIN(-M46,MAX(0,Projecao!M186))*Premissas!$B$11</f>
        <v>183821.675996332</v>
      </c>
      <c r="N48" s="36" t="n">
        <f aca="false">MIN(-N46,MAX(0,Projecao!N186))*Premissas!$B$11</f>
        <v>187286.709636436</v>
      </c>
      <c r="O48" s="36" t="n">
        <f aca="false">MIN(-O46,MAX(0,Projecao!O186))*Premissas!$B$11</f>
        <v>190531.60386975</v>
      </c>
      <c r="P48" s="3"/>
    </row>
    <row r="49" customFormat="false" ht="15" hidden="false" customHeight="false" outlineLevel="0" collapsed="false">
      <c r="A49" s="3"/>
      <c r="B49" s="14" t="s">
        <v>540</v>
      </c>
      <c r="C49" s="40" t="n">
        <f aca="false">C43+C44+C46+C47+C48</f>
        <v>0</v>
      </c>
      <c r="D49" s="40" t="n">
        <f aca="false">D43+D44+D46+D47+D48</f>
        <v>0</v>
      </c>
      <c r="E49" s="40" t="n">
        <f aca="false">E43+E44+E46+E47+E48</f>
        <v>-6420000</v>
      </c>
      <c r="F49" s="40" t="n">
        <f aca="false">F43+F44+F46+F47+F48</f>
        <v>-1354349.9826087</v>
      </c>
      <c r="G49" s="40" t="n">
        <f aca="false">G43+G44+G46+G47+G48</f>
        <v>-692627.873043479</v>
      </c>
      <c r="H49" s="40" t="n">
        <f aca="false">H43+H44+H46+H47+H48</f>
        <v>-1226296.12923478</v>
      </c>
      <c r="I49" s="40" t="n">
        <f aca="false">I43+I44+I46+I47+I48</f>
        <v>-805776.750611828</v>
      </c>
      <c r="J49" s="40" t="n">
        <f aca="false">J43+J44+J46+J47+J48</f>
        <v>-1988832.76681769</v>
      </c>
      <c r="K49" s="40" t="n">
        <f aca="false">K43+K44+K46+K47+K48</f>
        <v>-1913912.2654027</v>
      </c>
      <c r="L49" s="40" t="n">
        <f aca="false">L43+L44+L46+L47+L48</f>
        <v>-980568.51737264</v>
      </c>
      <c r="M49" s="40" t="n">
        <f aca="false">M43+M44+M46+M47+M48</f>
        <v>-1655289.95168885</v>
      </c>
      <c r="N49" s="40" t="n">
        <f aca="false">N43+N44+N46+N47+N48</f>
        <v>-1100973.53378037</v>
      </c>
      <c r="O49" s="40" t="n">
        <f aca="false">O43+O44+O46+O47+O48</f>
        <v>-15266528.8933465</v>
      </c>
      <c r="P49" s="3"/>
    </row>
    <row r="50" customFormat="false" ht="15" hidden="false" customHeight="false" outlineLevel="0" collapsed="false">
      <c r="A50" s="3"/>
      <c r="B50" s="4" t="s">
        <v>541</v>
      </c>
      <c r="C50" s="58" t="n">
        <v>0</v>
      </c>
      <c r="D50" s="58" t="n">
        <v>0</v>
      </c>
      <c r="E50" s="58" t="n">
        <v>0</v>
      </c>
      <c r="F50" s="58" t="n">
        <f aca="false">IF(F45=0,0,(Projecao!F183+Projecao!F187)/(-F46+E44*(1-Premissas!$B$25)/Premissas!$B$24))</f>
        <v>0.414424369616568</v>
      </c>
      <c r="G50" s="58" t="n">
        <f aca="false">IF(G45=0,0,(Projecao!G183+Projecao!G187)/(-G46+E44*(1-Premissas!$B$25)/Premissas!$B$24))</f>
        <v>0.685937615674006</v>
      </c>
      <c r="H50" s="58" t="n">
        <f aca="false">IF(H45=0,0,(Projecao!H183+Projecao!H187)/(-H46+E44*(1-Premissas!$B$25)/Premissas!$B$24))</f>
        <v>0.669344526181847</v>
      </c>
      <c r="I50" s="58" t="n">
        <f aca="false">IF(I45=0,0,(Projecao!I183+Projecao!I187)/(-I46+E44*(1-Premissas!$B$25)/Premissas!$B$24))</f>
        <v>0.653597871531464</v>
      </c>
      <c r="J50" s="58" t="n">
        <f aca="false">IF(J45=0,0,(Projecao!J183+Projecao!J187)/(-J46+E44*(1-Premissas!$B$25)/Premissas!$B$24))</f>
        <v>0.638615016581931</v>
      </c>
      <c r="K50" s="58" t="n">
        <f aca="false">IF(K45=0,0,(Projecao!K183+Projecao!K187)/(-K46+E44*(1-Premissas!$B$25)/Premissas!$B$24))</f>
        <v>0.624322078933004</v>
      </c>
      <c r="L50" s="58" t="n">
        <f aca="false">IF(L45=0,0,(Projecao!L183+Projecao!L187)/(-L46+E44*(1-Premissas!$B$25)/Premissas!$B$24))</f>
        <v>0.610652728077219</v>
      </c>
      <c r="M50" s="58" t="n">
        <f aca="false">IF(M45=0,0,(Projecao!M183+Projecao!M187)/(-M46+E44*(1-Premissas!$B$25)/Premissas!$B$24))</f>
        <v>0.597547173826153</v>
      </c>
      <c r="N50" s="58" t="n">
        <f aca="false">IF(N45=0,0,(Projecao!N183+Projecao!N187)/(-N46+E44*(1-Premissas!$B$25)/Premissas!$B$24))</f>
        <v>0.584951309978154</v>
      </c>
      <c r="O50" s="58" t="n">
        <f aca="false">IF(O45=0,0,(Projecao!O183+Projecao!O187)/(-O46+E44*(1-Premissas!$B$25)/Premissas!$B$24))</f>
        <v>0.572815986008916</v>
      </c>
      <c r="P50" s="3"/>
    </row>
    <row r="51" customFormat="false" ht="15" hidden="false" customHeight="false" outlineLevel="0" collapsed="false">
      <c r="A51" s="3"/>
      <c r="B51" s="14" t="s">
        <v>542</v>
      </c>
      <c r="C51" s="40" t="n">
        <f aca="false">-SUM(C49:E49)</f>
        <v>6420000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5" hidden="false" customHeight="false" outlineLevel="0" collapsed="false">
      <c r="A52" s="3"/>
      <c r="B52" s="14" t="s">
        <v>543</v>
      </c>
      <c r="C52" s="47" t="str">
        <f aca="false">IFERROR(IRR(C49:O49,0.05),IFERROR(IRR(C49:O49,-0.1),IF(SUM(C49:O49)&lt;0,"negativa","n/d")))</f>
        <v>negativa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5" hidden="false" customHeight="false" outlineLevel="0" collapsed="false">
      <c r="A53" s="3"/>
      <c r="B53" s="14" t="s">
        <v>544</v>
      </c>
      <c r="C53" s="59" t="n">
        <f aca="false">MIN(F50:N50)</f>
        <v>0.414424369616568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5" hidden="false" customHeight="false" outlineLevel="0" collapsed="false">
      <c r="A54" s="3"/>
      <c r="B54" s="14" t="s">
        <v>545</v>
      </c>
      <c r="C54" s="48" t="n">
        <f aca="false">-(G46+G47)</f>
        <v>2010316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5" hidden="false" customHeight="false" outlineLevel="0" collapsed="false">
      <c r="A55" s="3"/>
      <c r="B55" s="14" t="s">
        <v>546</v>
      </c>
      <c r="C55" s="48" t="n">
        <f aca="false">MIN(F49:N49)</f>
        <v>-1988832.76681769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" hidden="false" customHeight="false" outlineLevel="0" collapsed="false">
      <c r="A58" s="3"/>
      <c r="B58" s="19" t="s">
        <v>549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" hidden="false" customHeight="false" outlineLevel="0" collapsed="false">
      <c r="A59" s="3"/>
      <c r="B59" s="3" t="s">
        <v>533</v>
      </c>
      <c r="C59" s="24" t="n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5" hidden="false" customHeight="false" outlineLevel="0" collapsed="false">
      <c r="A60" s="3"/>
      <c r="B60" s="14" t="s">
        <v>398</v>
      </c>
      <c r="C60" s="14" t="n">
        <v>-2</v>
      </c>
      <c r="D60" s="14" t="n">
        <v>-1</v>
      </c>
      <c r="E60" s="14" t="n">
        <v>0</v>
      </c>
      <c r="F60" s="14" t="n">
        <v>1</v>
      </c>
      <c r="G60" s="14" t="n">
        <v>2</v>
      </c>
      <c r="H60" s="14" t="n">
        <v>3</v>
      </c>
      <c r="I60" s="14" t="n">
        <v>4</v>
      </c>
      <c r="J60" s="14" t="n">
        <v>5</v>
      </c>
      <c r="K60" s="14" t="n">
        <v>6</v>
      </c>
      <c r="L60" s="14" t="n">
        <v>7</v>
      </c>
      <c r="M60" s="14" t="n">
        <v>8</v>
      </c>
      <c r="N60" s="14" t="n">
        <v>9</v>
      </c>
      <c r="O60" s="14" t="n">
        <v>10</v>
      </c>
      <c r="P60" s="3"/>
    </row>
    <row r="61" customFormat="false" ht="15" hidden="false" customHeight="false" outlineLevel="0" collapsed="false">
      <c r="A61" s="3"/>
      <c r="B61" s="4" t="s">
        <v>534</v>
      </c>
      <c r="C61" s="20" t="n">
        <f aca="false">Projecao!C69</f>
        <v>-9541800</v>
      </c>
      <c r="D61" s="20" t="n">
        <f aca="false">Projecao!D69</f>
        <v>-9541800</v>
      </c>
      <c r="E61" s="20" t="n">
        <f aca="false">Projecao!E69</f>
        <v>-28625400</v>
      </c>
      <c r="F61" s="20" t="n">
        <f aca="false">Projecao!F69</f>
        <v>1217383.0173913</v>
      </c>
      <c r="G61" s="20" t="n">
        <f aca="false">Projecao!G69</f>
        <v>2005838.0481913</v>
      </c>
      <c r="H61" s="20" t="n">
        <f aca="false">Projecao!H69</f>
        <v>1648770.47863704</v>
      </c>
      <c r="I61" s="20" t="n">
        <f aca="false">Projecao!I69</f>
        <v>2034159.59999615</v>
      </c>
      <c r="J61" s="20" t="n">
        <f aca="false">Projecao!J69</f>
        <v>1147633.14669604</v>
      </c>
      <c r="K61" s="20" t="n">
        <f aca="false">Projecao!K69</f>
        <v>-150606.209251731</v>
      </c>
      <c r="L61" s="20" t="n">
        <f aca="false">Projecao!L69</f>
        <v>2075134.98505836</v>
      </c>
      <c r="M61" s="20" t="n">
        <f aca="false">Projecao!M69</f>
        <v>1596354.13269832</v>
      </c>
      <c r="N61" s="20" t="n">
        <f aca="false">Projecao!N69</f>
        <v>2101187.76037392</v>
      </c>
      <c r="O61" s="20" t="n">
        <f aca="false">Projecao!O69</f>
        <v>27048938.515549</v>
      </c>
      <c r="P61" s="3"/>
    </row>
    <row r="62" customFormat="false" ht="15" hidden="false" customHeight="false" outlineLevel="0" collapsed="false">
      <c r="A62" s="3"/>
      <c r="B62" s="4" t="s">
        <v>535</v>
      </c>
      <c r="C62" s="36" t="n">
        <v>0</v>
      </c>
      <c r="D62" s="36" t="n">
        <v>0</v>
      </c>
      <c r="E62" s="36" t="n">
        <f aca="false">Projecao!$C$82*$C$59</f>
        <v>0</v>
      </c>
      <c r="F62" s="36" t="n">
        <v>0</v>
      </c>
      <c r="G62" s="36" t="n">
        <v>0</v>
      </c>
      <c r="H62" s="36" t="n">
        <v>0</v>
      </c>
      <c r="I62" s="36" t="n">
        <v>0</v>
      </c>
      <c r="J62" s="36" t="n">
        <v>0</v>
      </c>
      <c r="K62" s="36" t="n">
        <v>0</v>
      </c>
      <c r="L62" s="36" t="n">
        <v>0</v>
      </c>
      <c r="M62" s="36" t="n">
        <v>0</v>
      </c>
      <c r="N62" s="36" t="n">
        <v>0</v>
      </c>
      <c r="O62" s="36" t="n">
        <v>0</v>
      </c>
      <c r="P62" s="3"/>
    </row>
    <row r="63" customFormat="false" ht="15" hidden="false" customHeight="false" outlineLevel="0" collapsed="false">
      <c r="A63" s="3"/>
      <c r="B63" s="4" t="s">
        <v>536</v>
      </c>
      <c r="C63" s="36" t="n">
        <v>0</v>
      </c>
      <c r="D63" s="36" t="n">
        <v>0</v>
      </c>
      <c r="E63" s="36" t="n">
        <v>0</v>
      </c>
      <c r="F63" s="36" t="n">
        <f aca="false">E62</f>
        <v>0</v>
      </c>
      <c r="G63" s="36" t="n">
        <f aca="false">F63-F65</f>
        <v>0</v>
      </c>
      <c r="H63" s="36" t="n">
        <f aca="false">G63-G65</f>
        <v>0</v>
      </c>
      <c r="I63" s="36" t="n">
        <f aca="false">H63-H65</f>
        <v>0</v>
      </c>
      <c r="J63" s="36" t="n">
        <f aca="false">I63-I65</f>
        <v>0</v>
      </c>
      <c r="K63" s="36" t="n">
        <f aca="false">J63-J65</f>
        <v>0</v>
      </c>
      <c r="L63" s="36" t="n">
        <f aca="false">K63-K65</f>
        <v>0</v>
      </c>
      <c r="M63" s="36" t="n">
        <f aca="false">L63-L65</f>
        <v>0</v>
      </c>
      <c r="N63" s="36" t="n">
        <f aca="false">M63-M65</f>
        <v>0</v>
      </c>
      <c r="O63" s="36" t="n">
        <f aca="false">N63-N65</f>
        <v>0</v>
      </c>
      <c r="P63" s="3"/>
    </row>
    <row r="64" customFormat="false" ht="15" hidden="false" customHeight="false" outlineLevel="0" collapsed="false">
      <c r="A64" s="3"/>
      <c r="B64" s="4" t="s">
        <v>537</v>
      </c>
      <c r="C64" s="36" t="n">
        <f aca="false">-C63*Premissas!$B$23</f>
        <v>-0</v>
      </c>
      <c r="D64" s="36" t="n">
        <f aca="false">-D63*Premissas!$B$23</f>
        <v>-0</v>
      </c>
      <c r="E64" s="36" t="n">
        <f aca="false">-E63*Premissas!$B$23</f>
        <v>-0</v>
      </c>
      <c r="F64" s="36" t="n">
        <f aca="false">-F63*Premissas!$B$23</f>
        <v>-0</v>
      </c>
      <c r="G64" s="36" t="n">
        <f aca="false">-G63*Premissas!$B$23</f>
        <v>-0</v>
      </c>
      <c r="H64" s="36" t="n">
        <f aca="false">-H63*Premissas!$B$23</f>
        <v>-0</v>
      </c>
      <c r="I64" s="36" t="n">
        <f aca="false">-I63*Premissas!$B$23</f>
        <v>-0</v>
      </c>
      <c r="J64" s="36" t="n">
        <f aca="false">-J63*Premissas!$B$23</f>
        <v>-0</v>
      </c>
      <c r="K64" s="36" t="n">
        <f aca="false">-K63*Premissas!$B$23</f>
        <v>-0</v>
      </c>
      <c r="L64" s="36" t="n">
        <f aca="false">-L63*Premissas!$B$23</f>
        <v>-0</v>
      </c>
      <c r="M64" s="36" t="n">
        <f aca="false">-M63*Premissas!$B$23</f>
        <v>-0</v>
      </c>
      <c r="N64" s="36" t="n">
        <f aca="false">-N63*Premissas!$B$23</f>
        <v>-0</v>
      </c>
      <c r="O64" s="36" t="n">
        <f aca="false">-O63*Premissas!$B$23</f>
        <v>-0</v>
      </c>
      <c r="P64" s="3"/>
    </row>
    <row r="65" customFormat="false" ht="15" hidden="false" customHeight="false" outlineLevel="0" collapsed="false">
      <c r="A65" s="3"/>
      <c r="B65" s="4" t="s">
        <v>538</v>
      </c>
      <c r="C65" s="36" t="n">
        <v>0</v>
      </c>
      <c r="D65" s="36" t="n">
        <v>0</v>
      </c>
      <c r="E65" s="36" t="n">
        <v>0</v>
      </c>
      <c r="F65" s="36" t="n">
        <f aca="false">-IF(F$60&lt;Premissas!$B$24,E62*(1-Premissas!$B$25)/Premissas!$B$24,F63)</f>
        <v>-0</v>
      </c>
      <c r="G65" s="36" t="n">
        <f aca="false">-IF(G$60&lt;Premissas!$B$24,E62*(1-Premissas!$B$25)/Premissas!$B$24,G63)</f>
        <v>-0</v>
      </c>
      <c r="H65" s="36" t="n">
        <f aca="false">-IF(H$60&lt;Premissas!$B$24,E62*(1-Premissas!$B$25)/Premissas!$B$24,H63)</f>
        <v>-0</v>
      </c>
      <c r="I65" s="36" t="n">
        <f aca="false">-IF(I$60&lt;Premissas!$B$24,E62*(1-Premissas!$B$25)/Premissas!$B$24,I63)</f>
        <v>-0</v>
      </c>
      <c r="J65" s="36" t="n">
        <f aca="false">-IF(J$60&lt;Premissas!$B$24,E62*(1-Premissas!$B$25)/Premissas!$B$24,J63)</f>
        <v>-0</v>
      </c>
      <c r="K65" s="36" t="n">
        <f aca="false">-IF(K$60&lt;Premissas!$B$24,E62*(1-Premissas!$B$25)/Premissas!$B$24,K63)</f>
        <v>-0</v>
      </c>
      <c r="L65" s="36" t="n">
        <f aca="false">-IF(L$60&lt;Premissas!$B$24,E62*(1-Premissas!$B$25)/Premissas!$B$24,L63)</f>
        <v>-0</v>
      </c>
      <c r="M65" s="36" t="n">
        <f aca="false">-IF(M$60&lt;Premissas!$B$24,E62*(1-Premissas!$B$25)/Premissas!$B$24,M63)</f>
        <v>-0</v>
      </c>
      <c r="N65" s="36" t="n">
        <f aca="false">-IF(N$60&lt;Premissas!$B$24,E62*(1-Premissas!$B$25)/Premissas!$B$24,N63)</f>
        <v>-0</v>
      </c>
      <c r="O65" s="36" t="n">
        <f aca="false">-IF(O$60&lt;Premissas!$B$24,E62*(1-Premissas!$B$25)/Premissas!$B$24,O63)</f>
        <v>-0</v>
      </c>
      <c r="P65" s="3"/>
    </row>
    <row r="66" customFormat="false" ht="15" hidden="false" customHeight="false" outlineLevel="0" collapsed="false">
      <c r="A66" s="3"/>
      <c r="B66" s="4" t="s">
        <v>539</v>
      </c>
      <c r="C66" s="36" t="n">
        <v>0</v>
      </c>
      <c r="D66" s="36" t="n">
        <v>0</v>
      </c>
      <c r="E66" s="36" t="n">
        <v>0</v>
      </c>
      <c r="F66" s="36" t="n">
        <f aca="false">MIN(-F64,MAX(0,Projecao!F63))*Premissas!$B$11</f>
        <v>0</v>
      </c>
      <c r="G66" s="36" t="n">
        <f aca="false">MIN(-G64,MAX(0,Projecao!G63))*Premissas!$B$11</f>
        <v>0</v>
      </c>
      <c r="H66" s="36" t="n">
        <f aca="false">MIN(-H64,MAX(0,Projecao!H63))*Premissas!$B$11</f>
        <v>0</v>
      </c>
      <c r="I66" s="36" t="n">
        <f aca="false">MIN(-I64,MAX(0,Projecao!I63))*Premissas!$B$11</f>
        <v>0</v>
      </c>
      <c r="J66" s="36" t="n">
        <f aca="false">MIN(-J64,MAX(0,Projecao!J63))*Premissas!$B$11</f>
        <v>0</v>
      </c>
      <c r="K66" s="36" t="n">
        <f aca="false">MIN(-K64,MAX(0,Projecao!K63))*Premissas!$B$11</f>
        <v>0</v>
      </c>
      <c r="L66" s="36" t="n">
        <f aca="false">MIN(-L64,MAX(0,Projecao!L63))*Premissas!$B$11</f>
        <v>0</v>
      </c>
      <c r="M66" s="36" t="n">
        <f aca="false">MIN(-M64,MAX(0,Projecao!M63))*Premissas!$B$11</f>
        <v>0</v>
      </c>
      <c r="N66" s="36" t="n">
        <f aca="false">MIN(-N64,MAX(0,Projecao!N63))*Premissas!$B$11</f>
        <v>0</v>
      </c>
      <c r="O66" s="36" t="n">
        <f aca="false">MIN(-O64,MAX(0,Projecao!O63))*Premissas!$B$11</f>
        <v>0</v>
      </c>
      <c r="P66" s="3"/>
    </row>
    <row r="67" customFormat="false" ht="15" hidden="false" customHeight="false" outlineLevel="0" collapsed="false">
      <c r="A67" s="3"/>
      <c r="B67" s="14" t="s">
        <v>540</v>
      </c>
      <c r="C67" s="40" t="n">
        <f aca="false">C61+C62+C64+C65+C66</f>
        <v>-9541800</v>
      </c>
      <c r="D67" s="40" t="n">
        <f aca="false">D61+D62+D64+D65+D66</f>
        <v>-9541800</v>
      </c>
      <c r="E67" s="40" t="n">
        <f aca="false">E61+E62+E64+E65+E66</f>
        <v>-28625400</v>
      </c>
      <c r="F67" s="40" t="n">
        <f aca="false">F61+F62+F64+F65+F66</f>
        <v>1217383.0173913</v>
      </c>
      <c r="G67" s="40" t="n">
        <f aca="false">G61+G62+G64+G65+G66</f>
        <v>2005838.0481913</v>
      </c>
      <c r="H67" s="40" t="n">
        <f aca="false">H61+H62+H64+H65+H66</f>
        <v>1648770.47863704</v>
      </c>
      <c r="I67" s="40" t="n">
        <f aca="false">I61+I62+I64+I65+I66</f>
        <v>2034159.59999615</v>
      </c>
      <c r="J67" s="40" t="n">
        <f aca="false">J61+J62+J64+J65+J66</f>
        <v>1147633.14669604</v>
      </c>
      <c r="K67" s="40" t="n">
        <f aca="false">K61+K62+K64+K65+K66</f>
        <v>-150606.209251731</v>
      </c>
      <c r="L67" s="40" t="n">
        <f aca="false">L61+L62+L64+L65+L66</f>
        <v>2075134.98505836</v>
      </c>
      <c r="M67" s="40" t="n">
        <f aca="false">M61+M62+M64+M65+M66</f>
        <v>1596354.13269832</v>
      </c>
      <c r="N67" s="40" t="n">
        <f aca="false">N61+N62+N64+N65+N66</f>
        <v>2101187.76037392</v>
      </c>
      <c r="O67" s="40" t="n">
        <f aca="false">O61+O62+O64+O65+O66</f>
        <v>27048938.515549</v>
      </c>
      <c r="P67" s="3"/>
    </row>
    <row r="68" customFormat="false" ht="15" hidden="false" customHeight="false" outlineLevel="0" collapsed="false">
      <c r="A68" s="3"/>
      <c r="B68" s="4" t="s">
        <v>541</v>
      </c>
      <c r="C68" s="58" t="n">
        <v>0</v>
      </c>
      <c r="D68" s="58" t="n">
        <v>0</v>
      </c>
      <c r="E68" s="58" t="n">
        <v>0</v>
      </c>
      <c r="F68" s="58" t="n">
        <f aca="false">IF(F63=0,0,(Projecao!F60+Projecao!F64)/(-F64+E62*(1-Premissas!$B$25)/Premissas!$B$24))</f>
        <v>0</v>
      </c>
      <c r="G68" s="58" t="n">
        <f aca="false">IF(G63=0,0,(Projecao!G60+Projecao!G64)/(-G64+E62*(1-Premissas!$B$25)/Premissas!$B$24))</f>
        <v>0</v>
      </c>
      <c r="H68" s="58" t="n">
        <f aca="false">IF(H63=0,0,(Projecao!H60+Projecao!H64)/(-H64+E62*(1-Premissas!$B$25)/Premissas!$B$24))</f>
        <v>0</v>
      </c>
      <c r="I68" s="58" t="n">
        <f aca="false">IF(I63=0,0,(Projecao!I60+Projecao!I64)/(-I64+E62*(1-Premissas!$B$25)/Premissas!$B$24))</f>
        <v>0</v>
      </c>
      <c r="J68" s="58" t="n">
        <f aca="false">IF(J63=0,0,(Projecao!J60+Projecao!J64)/(-J64+E62*(1-Premissas!$B$25)/Premissas!$B$24))</f>
        <v>0</v>
      </c>
      <c r="K68" s="58" t="n">
        <f aca="false">IF(K63=0,0,(Projecao!K60+Projecao!K64)/(-K64+E62*(1-Premissas!$B$25)/Premissas!$B$24))</f>
        <v>0</v>
      </c>
      <c r="L68" s="58" t="n">
        <f aca="false">IF(L63=0,0,(Projecao!L60+Projecao!L64)/(-L64+E62*(1-Premissas!$B$25)/Premissas!$B$24))</f>
        <v>0</v>
      </c>
      <c r="M68" s="58" t="n">
        <f aca="false">IF(M63=0,0,(Projecao!M60+Projecao!M64)/(-M64+E62*(1-Premissas!$B$25)/Premissas!$B$24))</f>
        <v>0</v>
      </c>
      <c r="N68" s="58" t="n">
        <f aca="false">IF(N63=0,0,(Projecao!N60+Projecao!N64)/(-N64+E62*(1-Premissas!$B$25)/Premissas!$B$24))</f>
        <v>0</v>
      </c>
      <c r="O68" s="58" t="n">
        <f aca="false">IF(O63=0,0,(Projecao!O60+Projecao!O64)/(-O64+E62*(1-Premissas!$B$25)/Premissas!$B$24))</f>
        <v>0</v>
      </c>
      <c r="P68" s="3"/>
    </row>
    <row r="69" customFormat="false" ht="15" hidden="false" customHeight="false" outlineLevel="0" collapsed="false">
      <c r="A69" s="3"/>
      <c r="B69" s="14" t="s">
        <v>542</v>
      </c>
      <c r="C69" s="40" t="n">
        <f aca="false">-SUM(C67:E67)</f>
        <v>47709000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customFormat="false" ht="15" hidden="false" customHeight="false" outlineLevel="0" collapsed="false">
      <c r="A70" s="3"/>
      <c r="B70" s="14" t="s">
        <v>543</v>
      </c>
      <c r="C70" s="47" t="n">
        <f aca="false">IFERROR(IRR(C67:O67,0.05),IFERROR(IRR(C67:O67,-0.1),IF(SUM(C67:O67)&lt;0,"negativa","n/d")))</f>
        <v>-0.0174193225064716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5" hidden="false" customHeight="false" outlineLevel="0" collapsed="false">
      <c r="A71" s="3"/>
      <c r="B71" s="14" t="s">
        <v>544</v>
      </c>
      <c r="C71" s="59" t="s">
        <v>524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5" hidden="false" customHeight="false" outlineLevel="0" collapsed="false">
      <c r="A72" s="3"/>
      <c r="B72" s="14" t="s">
        <v>545</v>
      </c>
      <c r="C72" s="48" t="n">
        <f aca="false">-(G64+G65)</f>
        <v>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5" hidden="false" customHeight="false" outlineLevel="0" collapsed="false">
      <c r="A73" s="3"/>
      <c r="B73" s="14" t="s">
        <v>546</v>
      </c>
      <c r="C73" s="48" t="n">
        <f aca="false">MIN(F67:N67)</f>
        <v>-150606.209251731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5" hidden="false" customHeight="false" outlineLevel="0" collapsed="false">
      <c r="A76" s="3"/>
      <c r="B76" s="19" t="s">
        <v>550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" hidden="false" customHeight="false" outlineLevel="0" collapsed="false">
      <c r="A77" s="3"/>
      <c r="B77" s="3" t="s">
        <v>533</v>
      </c>
      <c r="C77" s="24" t="n">
        <v>0.5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" hidden="false" customHeight="false" outlineLevel="0" collapsed="false">
      <c r="A78" s="3"/>
      <c r="B78" s="14" t="s">
        <v>398</v>
      </c>
      <c r="C78" s="14" t="n">
        <v>-2</v>
      </c>
      <c r="D78" s="14" t="n">
        <v>-1</v>
      </c>
      <c r="E78" s="14" t="n">
        <v>0</v>
      </c>
      <c r="F78" s="14" t="n">
        <v>1</v>
      </c>
      <c r="G78" s="14" t="n">
        <v>2</v>
      </c>
      <c r="H78" s="14" t="n">
        <v>3</v>
      </c>
      <c r="I78" s="14" t="n">
        <v>4</v>
      </c>
      <c r="J78" s="14" t="n">
        <v>5</v>
      </c>
      <c r="K78" s="14" t="n">
        <v>6</v>
      </c>
      <c r="L78" s="14" t="n">
        <v>7</v>
      </c>
      <c r="M78" s="14" t="n">
        <v>8</v>
      </c>
      <c r="N78" s="14" t="n">
        <v>9</v>
      </c>
      <c r="O78" s="14" t="n">
        <v>10</v>
      </c>
      <c r="P78" s="3"/>
    </row>
    <row r="79" customFormat="false" ht="15" hidden="false" customHeight="false" outlineLevel="0" collapsed="false">
      <c r="A79" s="3"/>
      <c r="B79" s="4" t="s">
        <v>534</v>
      </c>
      <c r="C79" s="20" t="n">
        <f aca="false">Projecao!C69</f>
        <v>-9541800</v>
      </c>
      <c r="D79" s="20" t="n">
        <f aca="false">Projecao!D69</f>
        <v>-9541800</v>
      </c>
      <c r="E79" s="20" t="n">
        <f aca="false">Projecao!E69</f>
        <v>-28625400</v>
      </c>
      <c r="F79" s="20" t="n">
        <f aca="false">Projecao!F69</f>
        <v>1217383.0173913</v>
      </c>
      <c r="G79" s="20" t="n">
        <f aca="false">Projecao!G69</f>
        <v>2005838.0481913</v>
      </c>
      <c r="H79" s="20" t="n">
        <f aca="false">Projecao!H69</f>
        <v>1648770.47863704</v>
      </c>
      <c r="I79" s="20" t="n">
        <f aca="false">Projecao!I69</f>
        <v>2034159.59999615</v>
      </c>
      <c r="J79" s="20" t="n">
        <f aca="false">Projecao!J69</f>
        <v>1147633.14669604</v>
      </c>
      <c r="K79" s="20" t="n">
        <f aca="false">Projecao!K69</f>
        <v>-150606.209251731</v>
      </c>
      <c r="L79" s="20" t="n">
        <f aca="false">Projecao!L69</f>
        <v>2075134.98505836</v>
      </c>
      <c r="M79" s="20" t="n">
        <f aca="false">Projecao!M69</f>
        <v>1596354.13269832</v>
      </c>
      <c r="N79" s="20" t="n">
        <f aca="false">Projecao!N69</f>
        <v>2101187.76037392</v>
      </c>
      <c r="O79" s="20" t="n">
        <f aca="false">Projecao!O69</f>
        <v>27048938.515549</v>
      </c>
      <c r="P79" s="3"/>
    </row>
    <row r="80" customFormat="false" ht="15" hidden="false" customHeight="false" outlineLevel="0" collapsed="false">
      <c r="A80" s="3"/>
      <c r="B80" s="4" t="s">
        <v>535</v>
      </c>
      <c r="C80" s="36" t="n">
        <v>0</v>
      </c>
      <c r="D80" s="36" t="n">
        <v>0</v>
      </c>
      <c r="E80" s="36" t="n">
        <f aca="false">Projecao!$C$82*$C$77</f>
        <v>23854500</v>
      </c>
      <c r="F80" s="36" t="n">
        <v>0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0</v>
      </c>
      <c r="L80" s="36" t="n">
        <v>0</v>
      </c>
      <c r="M80" s="36" t="n">
        <v>0</v>
      </c>
      <c r="N80" s="36" t="n">
        <v>0</v>
      </c>
      <c r="O80" s="36" t="n">
        <v>0</v>
      </c>
      <c r="P80" s="3"/>
    </row>
    <row r="81" customFormat="false" ht="15" hidden="false" customHeight="false" outlineLevel="0" collapsed="false">
      <c r="A81" s="3"/>
      <c r="B81" s="4" t="s">
        <v>536</v>
      </c>
      <c r="C81" s="36" t="n">
        <v>0</v>
      </c>
      <c r="D81" s="36" t="n">
        <v>0</v>
      </c>
      <c r="E81" s="36" t="n">
        <v>0</v>
      </c>
      <c r="F81" s="36" t="n">
        <f aca="false">E80</f>
        <v>23854500</v>
      </c>
      <c r="G81" s="36" t="n">
        <f aca="false">F81-F83</f>
        <v>25524315</v>
      </c>
      <c r="H81" s="36" t="n">
        <f aca="false">G81-G83</f>
        <v>27194130</v>
      </c>
      <c r="I81" s="36" t="n">
        <f aca="false">H81-H83</f>
        <v>28863945</v>
      </c>
      <c r="J81" s="36" t="n">
        <f aca="false">I81-I83</f>
        <v>30533760</v>
      </c>
      <c r="K81" s="36" t="n">
        <f aca="false">J81-J83</f>
        <v>32203575</v>
      </c>
      <c r="L81" s="36" t="n">
        <f aca="false">K81-K83</f>
        <v>33873390</v>
      </c>
      <c r="M81" s="36" t="n">
        <f aca="false">L81-L83</f>
        <v>35543205</v>
      </c>
      <c r="N81" s="36" t="n">
        <f aca="false">M81-M83</f>
        <v>37213020</v>
      </c>
      <c r="O81" s="36" t="n">
        <f aca="false">N81-N83</f>
        <v>38882835</v>
      </c>
      <c r="P81" s="3"/>
    </row>
    <row r="82" customFormat="false" ht="15" hidden="false" customHeight="false" outlineLevel="0" collapsed="false">
      <c r="A82" s="3"/>
      <c r="B82" s="4" t="s">
        <v>537</v>
      </c>
      <c r="C82" s="36" t="n">
        <f aca="false">-C81*Premissas!$B$23</f>
        <v>-0</v>
      </c>
      <c r="D82" s="36" t="n">
        <f aca="false">-D81*Premissas!$B$23</f>
        <v>-0</v>
      </c>
      <c r="E82" s="36" t="n">
        <f aca="false">-E81*Premissas!$B$23</f>
        <v>-0</v>
      </c>
      <c r="F82" s="36" t="n">
        <f aca="false">-F81*Premissas!$B$23</f>
        <v>-1431270</v>
      </c>
      <c r="G82" s="36" t="n">
        <f aca="false">-G81*Premissas!$B$23</f>
        <v>-1531458.9</v>
      </c>
      <c r="H82" s="36" t="n">
        <f aca="false">-H81*Premissas!$B$23</f>
        <v>-1631647.8</v>
      </c>
      <c r="I82" s="36" t="n">
        <f aca="false">-I81*Premissas!$B$23</f>
        <v>-1731836.7</v>
      </c>
      <c r="J82" s="36" t="n">
        <f aca="false">-J81*Premissas!$B$23</f>
        <v>-1832025.6</v>
      </c>
      <c r="K82" s="36" t="n">
        <f aca="false">-K81*Premissas!$B$23</f>
        <v>-1932214.5</v>
      </c>
      <c r="L82" s="36" t="n">
        <f aca="false">-L81*Premissas!$B$23</f>
        <v>-2032403.4</v>
      </c>
      <c r="M82" s="36" t="n">
        <f aca="false">-M81*Premissas!$B$23</f>
        <v>-2132592.3</v>
      </c>
      <c r="N82" s="36" t="n">
        <f aca="false">-N81*Premissas!$B$23</f>
        <v>-2232781.2</v>
      </c>
      <c r="O82" s="36" t="n">
        <f aca="false">-O81*Premissas!$B$23</f>
        <v>-2332970.1</v>
      </c>
      <c r="P82" s="3"/>
    </row>
    <row r="83" customFormat="false" ht="15" hidden="false" customHeight="false" outlineLevel="0" collapsed="false">
      <c r="A83" s="3"/>
      <c r="B83" s="4" t="s">
        <v>538</v>
      </c>
      <c r="C83" s="36" t="n">
        <v>0</v>
      </c>
      <c r="D83" s="36" t="n">
        <v>0</v>
      </c>
      <c r="E83" s="36" t="n">
        <v>0</v>
      </c>
      <c r="F83" s="36" t="n">
        <f aca="false">-IF(F$78&lt;Premissas!$B$24,E80*(1-Premissas!$B$25)/Premissas!$B$24,F81)</f>
        <v>-1669815</v>
      </c>
      <c r="G83" s="36" t="n">
        <f aca="false">-IF(G$78&lt;Premissas!$B$24,E80*(1-Premissas!$B$25)/Premissas!$B$24,G81)</f>
        <v>-1669815</v>
      </c>
      <c r="H83" s="36" t="n">
        <f aca="false">-IF(H$78&lt;Premissas!$B$24,E80*(1-Premissas!$B$25)/Premissas!$B$24,H81)</f>
        <v>-1669815</v>
      </c>
      <c r="I83" s="36" t="n">
        <f aca="false">-IF(I$78&lt;Premissas!$B$24,E80*(1-Premissas!$B$25)/Premissas!$B$24,I81)</f>
        <v>-1669815</v>
      </c>
      <c r="J83" s="36" t="n">
        <f aca="false">-IF(J$78&lt;Premissas!$B$24,E80*(1-Premissas!$B$25)/Premissas!$B$24,J81)</f>
        <v>-1669815</v>
      </c>
      <c r="K83" s="36" t="n">
        <f aca="false">-IF(K$78&lt;Premissas!$B$24,E80*(1-Premissas!$B$25)/Premissas!$B$24,K81)</f>
        <v>-1669815</v>
      </c>
      <c r="L83" s="36" t="n">
        <f aca="false">-IF(L$78&lt;Premissas!$B$24,E80*(1-Premissas!$B$25)/Premissas!$B$24,L81)</f>
        <v>-1669815</v>
      </c>
      <c r="M83" s="36" t="n">
        <f aca="false">-IF(M$78&lt;Premissas!$B$24,E80*(1-Premissas!$B$25)/Premissas!$B$24,M81)</f>
        <v>-1669815</v>
      </c>
      <c r="N83" s="36" t="n">
        <f aca="false">-IF(N$78&lt;Premissas!$B$24,E80*(1-Premissas!$B$25)/Premissas!$B$24,N81)</f>
        <v>-1669815</v>
      </c>
      <c r="O83" s="36" t="n">
        <f aca="false">-IF(O$78&lt;Premissas!$B$24,E80*(1-Premissas!$B$25)/Premissas!$B$24,O81)</f>
        <v>-38882835</v>
      </c>
      <c r="P83" s="3"/>
    </row>
    <row r="84" customFormat="false" ht="15" hidden="false" customHeight="false" outlineLevel="0" collapsed="false">
      <c r="A84" s="3"/>
      <c r="B84" s="4" t="s">
        <v>539</v>
      </c>
      <c r="C84" s="36" t="n">
        <v>0</v>
      </c>
      <c r="D84" s="36" t="n">
        <v>0</v>
      </c>
      <c r="E84" s="36" t="n">
        <v>0</v>
      </c>
      <c r="F84" s="36" t="n">
        <f aca="false">MIN(-F82,MAX(0,Projecao!F63))*Premissas!$B$11</f>
        <v>0</v>
      </c>
      <c r="G84" s="36" t="n">
        <f aca="false">MIN(-G82,MAX(0,Projecao!G63))*Premissas!$B$11</f>
        <v>53902.5687652171</v>
      </c>
      <c r="H84" s="36" t="n">
        <f aca="false">MIN(-H82,MAX(0,Projecao!H63))*Premissas!$B$11</f>
        <v>65039.356828174</v>
      </c>
      <c r="I84" s="36" t="n">
        <f aca="false">MIN(-I82,MAX(0,Projecao!I63))*Premissas!$B$11</f>
        <v>76200.7805330182</v>
      </c>
      <c r="J84" s="36" t="n">
        <f aca="false">MIN(-J82,MAX(0,Projecao!J63))*Premissas!$B$11</f>
        <v>87379.8422490086</v>
      </c>
      <c r="K84" s="36" t="n">
        <f aca="false">MIN(-K82,MAX(0,Projecao!K63))*Premissas!$B$11</f>
        <v>98569.1409989786</v>
      </c>
      <c r="L84" s="36" t="n">
        <f aca="false">MIN(-L82,MAX(0,Projecao!L63))*Premissas!$B$11</f>
        <v>109760.85552351</v>
      </c>
      <c r="M84" s="36" t="n">
        <f aca="false">MIN(-M82,MAX(0,Projecao!M63))*Premissas!$B$11</f>
        <v>120946.726716142</v>
      </c>
      <c r="N84" s="36" t="n">
        <f aca="false">MIN(-N82,MAX(0,Projecao!N63))*Premissas!$B$11</f>
        <v>132118.039407725</v>
      </c>
      <c r="O84" s="36" t="n">
        <f aca="false">MIN(-O82,MAX(0,Projecao!O63))*Premissas!$B$11</f>
        <v>143265.603477309</v>
      </c>
      <c r="P84" s="3"/>
    </row>
    <row r="85" customFormat="false" ht="15" hidden="false" customHeight="false" outlineLevel="0" collapsed="false">
      <c r="A85" s="3"/>
      <c r="B85" s="14" t="s">
        <v>540</v>
      </c>
      <c r="C85" s="40" t="n">
        <f aca="false">C79+C80+C82+C83+C84</f>
        <v>-9541800</v>
      </c>
      <c r="D85" s="40" t="n">
        <f aca="false">D79+D80+D82+D83+D84</f>
        <v>-9541800</v>
      </c>
      <c r="E85" s="40" t="n">
        <f aca="false">E79+E80+E82+E83+E84</f>
        <v>-4770900</v>
      </c>
      <c r="F85" s="40" t="n">
        <f aca="false">F79+F80+F82+F83+F84</f>
        <v>-1883701.9826087</v>
      </c>
      <c r="G85" s="40" t="n">
        <f aca="false">G79+G80+G82+G83+G84</f>
        <v>-1141533.28304348</v>
      </c>
      <c r="H85" s="40" t="n">
        <f aca="false">H79+H80+H82+H83+H84</f>
        <v>-1587652.96453478</v>
      </c>
      <c r="I85" s="40" t="n">
        <f aca="false">I79+I80+I82+I83+I84</f>
        <v>-1291291.31947083</v>
      </c>
      <c r="J85" s="40" t="n">
        <f aca="false">J79+J80+J82+J83+J84</f>
        <v>-2266827.61105495</v>
      </c>
      <c r="K85" s="40" t="n">
        <f aca="false">K79+K80+K82+K83+K84</f>
        <v>-3654066.56825275</v>
      </c>
      <c r="L85" s="40" t="n">
        <f aca="false">L79+L80+L82+L83+L84</f>
        <v>-1517322.55941813</v>
      </c>
      <c r="M85" s="40" t="n">
        <f aca="false">M79+M80+M82+M83+M84</f>
        <v>-2085106.44058554</v>
      </c>
      <c r="N85" s="40" t="n">
        <f aca="false">N79+N80+N82+N83+N84</f>
        <v>-1669290.40021836</v>
      </c>
      <c r="O85" s="40" t="n">
        <f aca="false">O79+O80+O82+O83+O84</f>
        <v>-14023600.9809737</v>
      </c>
      <c r="P85" s="3"/>
    </row>
    <row r="86" customFormat="false" ht="15" hidden="false" customHeight="false" outlineLevel="0" collapsed="false">
      <c r="A86" s="3"/>
      <c r="B86" s="4" t="s">
        <v>541</v>
      </c>
      <c r="C86" s="58" t="n">
        <v>0</v>
      </c>
      <c r="D86" s="58" t="n">
        <v>0</v>
      </c>
      <c r="E86" s="58" t="n">
        <v>0</v>
      </c>
      <c r="F86" s="58" t="n">
        <f aca="false">IF(F81=0,0,(Projecao!F60+Projecao!F64)/(-F82+E80*(1-Premissas!$B$25)/Premissas!$B$24))</f>
        <v>0.46948987770129</v>
      </c>
      <c r="G86" s="58" t="n">
        <f aca="false">IF(G81=0,0,(Projecao!G60+Projecao!G64)/(-G82+E80*(1-Premissas!$B$25)/Premissas!$B$24))</f>
        <v>0.703326072221219</v>
      </c>
      <c r="H86" s="58" t="n">
        <f aca="false">IF(H81=0,0,(Projecao!H60+Projecao!H64)/(-H82+E80*(1-Premissas!$B$25)/Premissas!$B$24))</f>
        <v>0.68853051112284</v>
      </c>
      <c r="I86" s="58" t="n">
        <f aca="false">IF(I81=0,0,(Projecao!I60+Projecao!I64)/(-I82+E80*(1-Premissas!$B$25)/Premissas!$B$24))</f>
        <v>0.674620556305383</v>
      </c>
      <c r="J86" s="58" t="n">
        <f aca="false">IF(J81=0,0,(Projecao!J60+Projecao!J64)/(-J82+E80*(1-Premissas!$B$25)/Premissas!$B$24))</f>
        <v>0.661516316241661</v>
      </c>
      <c r="K86" s="58" t="n">
        <f aca="false">IF(K81=0,0,(Projecao!K60+Projecao!K64)/(-K82+E80*(1-Premissas!$B$25)/Premissas!$B$24))</f>
        <v>0.64914657063006</v>
      </c>
      <c r="L86" s="58" t="n">
        <f aca="false">IF(L81=0,0,(Projecao!L60+Projecao!L64)/(-L82+E80*(1-Premissas!$B$25)/Premissas!$B$24))</f>
        <v>0.637447588217344</v>
      </c>
      <c r="M86" s="58" t="n">
        <f aca="false">IF(M81=0,0,(Projecao!M60+Projecao!M64)/(-M82+E80*(1-Premissas!$B$25)/Premissas!$B$24))</f>
        <v>0.62636213119411</v>
      </c>
      <c r="N86" s="58" t="n">
        <f aca="false">IF(N81=0,0,(Projecao!N60+Projecao!N64)/(-N82+E80*(1-Premissas!$B$25)/Premissas!$B$24))</f>
        <v>0.6158386126237</v>
      </c>
      <c r="O86" s="58" t="n">
        <f aca="false">IF(O81=0,0,(Projecao!O60+Projecao!O64)/(-O82+E80*(1-Premissas!$B$25)/Premissas!$B$24))</f>
        <v>0.605830380080803</v>
      </c>
      <c r="P86" s="3"/>
    </row>
    <row r="87" customFormat="false" ht="15" hidden="false" customHeight="false" outlineLevel="0" collapsed="false">
      <c r="A87" s="3"/>
      <c r="B87" s="14" t="s">
        <v>542</v>
      </c>
      <c r="C87" s="40" t="n">
        <f aca="false">-SUM(C85:E85)</f>
        <v>23854500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5" hidden="false" customHeight="false" outlineLevel="0" collapsed="false">
      <c r="A88" s="3"/>
      <c r="B88" s="14" t="s">
        <v>543</v>
      </c>
      <c r="C88" s="47" t="str">
        <f aca="false">IFERROR(IRR(C85:O85,0.05),IFERROR(IRR(C85:O85,-0.1),IF(SUM(C85:O85)&lt;0,"negativa","n/d")))</f>
        <v>negativa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5" hidden="false" customHeight="false" outlineLevel="0" collapsed="false">
      <c r="A89" s="3"/>
      <c r="B89" s="14" t="s">
        <v>544</v>
      </c>
      <c r="C89" s="59" t="n">
        <f aca="false">MIN(F86:N86)</f>
        <v>0.46948987770129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5" hidden="false" customHeight="false" outlineLevel="0" collapsed="false">
      <c r="A90" s="3"/>
      <c r="B90" s="14" t="s">
        <v>545</v>
      </c>
      <c r="C90" s="48" t="n">
        <f aca="false">-(G82+G83)</f>
        <v>3201273.9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5" hidden="false" customHeight="false" outlineLevel="0" collapsed="false">
      <c r="A91" s="3"/>
      <c r="B91" s="14" t="s">
        <v>546</v>
      </c>
      <c r="C91" s="48" t="n">
        <f aca="false">MIN(F85:N85)</f>
        <v>-3654066.56825275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5" hidden="false" customHeight="false" outlineLevel="0" collapsed="false">
      <c r="A94" s="3"/>
      <c r="B94" s="19" t="s">
        <v>551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customFormat="false" ht="15" hidden="false" customHeight="false" outlineLevel="0" collapsed="false">
      <c r="A95" s="3"/>
      <c r="B95" s="3" t="s">
        <v>533</v>
      </c>
      <c r="C95" s="24" t="n">
        <v>0.7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5" hidden="false" customHeight="false" outlineLevel="0" collapsed="false">
      <c r="A96" s="3"/>
      <c r="B96" s="14" t="s">
        <v>398</v>
      </c>
      <c r="C96" s="14" t="n">
        <v>-2</v>
      </c>
      <c r="D96" s="14" t="n">
        <v>-1</v>
      </c>
      <c r="E96" s="14" t="n">
        <v>0</v>
      </c>
      <c r="F96" s="14" t="n">
        <v>1</v>
      </c>
      <c r="G96" s="14" t="n">
        <v>2</v>
      </c>
      <c r="H96" s="14" t="n">
        <v>3</v>
      </c>
      <c r="I96" s="14" t="n">
        <v>4</v>
      </c>
      <c r="J96" s="14" t="n">
        <v>5</v>
      </c>
      <c r="K96" s="14" t="n">
        <v>6</v>
      </c>
      <c r="L96" s="14" t="n">
        <v>7</v>
      </c>
      <c r="M96" s="14" t="n">
        <v>8</v>
      </c>
      <c r="N96" s="14" t="n">
        <v>9</v>
      </c>
      <c r="O96" s="14" t="n">
        <v>10</v>
      </c>
      <c r="P96" s="3"/>
    </row>
    <row r="97" customFormat="false" ht="15" hidden="false" customHeight="false" outlineLevel="0" collapsed="false">
      <c r="A97" s="3"/>
      <c r="B97" s="4" t="s">
        <v>534</v>
      </c>
      <c r="C97" s="20" t="n">
        <f aca="false">Projecao!C69</f>
        <v>-9541800</v>
      </c>
      <c r="D97" s="20" t="n">
        <f aca="false">Projecao!D69</f>
        <v>-9541800</v>
      </c>
      <c r="E97" s="20" t="n">
        <f aca="false">Projecao!E69</f>
        <v>-28625400</v>
      </c>
      <c r="F97" s="20" t="n">
        <f aca="false">Projecao!F69</f>
        <v>1217383.0173913</v>
      </c>
      <c r="G97" s="20" t="n">
        <f aca="false">Projecao!G69</f>
        <v>2005838.0481913</v>
      </c>
      <c r="H97" s="20" t="n">
        <f aca="false">Projecao!H69</f>
        <v>1648770.47863704</v>
      </c>
      <c r="I97" s="20" t="n">
        <f aca="false">Projecao!I69</f>
        <v>2034159.59999615</v>
      </c>
      <c r="J97" s="20" t="n">
        <f aca="false">Projecao!J69</f>
        <v>1147633.14669604</v>
      </c>
      <c r="K97" s="20" t="n">
        <f aca="false">Projecao!K69</f>
        <v>-150606.209251731</v>
      </c>
      <c r="L97" s="20" t="n">
        <f aca="false">Projecao!L69</f>
        <v>2075134.98505836</v>
      </c>
      <c r="M97" s="20" t="n">
        <f aca="false">Projecao!M69</f>
        <v>1596354.13269832</v>
      </c>
      <c r="N97" s="20" t="n">
        <f aca="false">Projecao!N69</f>
        <v>2101187.76037392</v>
      </c>
      <c r="O97" s="20" t="n">
        <f aca="false">Projecao!O69</f>
        <v>27048938.515549</v>
      </c>
      <c r="P97" s="3"/>
    </row>
    <row r="98" customFormat="false" ht="15" hidden="false" customHeight="false" outlineLevel="0" collapsed="false">
      <c r="A98" s="3"/>
      <c r="B98" s="4" t="s">
        <v>535</v>
      </c>
      <c r="C98" s="36" t="n">
        <v>0</v>
      </c>
      <c r="D98" s="36" t="n">
        <v>0</v>
      </c>
      <c r="E98" s="36" t="n">
        <f aca="false">Projecao!$C$82*$C$95</f>
        <v>33396300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6" t="n">
        <v>0</v>
      </c>
      <c r="O98" s="36" t="n">
        <v>0</v>
      </c>
      <c r="P98" s="3"/>
    </row>
    <row r="99" customFormat="false" ht="15" hidden="false" customHeight="false" outlineLevel="0" collapsed="false">
      <c r="A99" s="3"/>
      <c r="B99" s="4" t="s">
        <v>536</v>
      </c>
      <c r="C99" s="36" t="n">
        <v>0</v>
      </c>
      <c r="D99" s="36" t="n">
        <v>0</v>
      </c>
      <c r="E99" s="36" t="n">
        <v>0</v>
      </c>
      <c r="F99" s="36" t="n">
        <f aca="false">E98</f>
        <v>33396300</v>
      </c>
      <c r="G99" s="36" t="n">
        <f aca="false">F99-F101</f>
        <v>35734041</v>
      </c>
      <c r="H99" s="36" t="n">
        <f aca="false">G99-G101</f>
        <v>38071782</v>
      </c>
      <c r="I99" s="36" t="n">
        <f aca="false">H99-H101</f>
        <v>40409523</v>
      </c>
      <c r="J99" s="36" t="n">
        <f aca="false">I99-I101</f>
        <v>42747264</v>
      </c>
      <c r="K99" s="36" t="n">
        <f aca="false">J99-J101</f>
        <v>45085005</v>
      </c>
      <c r="L99" s="36" t="n">
        <f aca="false">K99-K101</f>
        <v>47422746</v>
      </c>
      <c r="M99" s="36" t="n">
        <f aca="false">L99-L101</f>
        <v>49760487</v>
      </c>
      <c r="N99" s="36" t="n">
        <f aca="false">M99-M101</f>
        <v>52098228</v>
      </c>
      <c r="O99" s="36" t="n">
        <f aca="false">N99-N101</f>
        <v>54435969</v>
      </c>
      <c r="P99" s="3"/>
    </row>
    <row r="100" customFormat="false" ht="15" hidden="false" customHeight="false" outlineLevel="0" collapsed="false">
      <c r="A100" s="3"/>
      <c r="B100" s="4" t="s">
        <v>537</v>
      </c>
      <c r="C100" s="36" t="n">
        <f aca="false">-C99*Premissas!$B$23</f>
        <v>-0</v>
      </c>
      <c r="D100" s="36" t="n">
        <f aca="false">-D99*Premissas!$B$23</f>
        <v>-0</v>
      </c>
      <c r="E100" s="36" t="n">
        <f aca="false">-E99*Premissas!$B$23</f>
        <v>-0</v>
      </c>
      <c r="F100" s="36" t="n">
        <f aca="false">-F99*Premissas!$B$23</f>
        <v>-2003778</v>
      </c>
      <c r="G100" s="36" t="n">
        <f aca="false">-G99*Premissas!$B$23</f>
        <v>-2144042.46</v>
      </c>
      <c r="H100" s="36" t="n">
        <f aca="false">-H99*Premissas!$B$23</f>
        <v>-2284306.92</v>
      </c>
      <c r="I100" s="36" t="n">
        <f aca="false">-I99*Premissas!$B$23</f>
        <v>-2424571.38</v>
      </c>
      <c r="J100" s="36" t="n">
        <f aca="false">-J99*Premissas!$B$23</f>
        <v>-2564835.84</v>
      </c>
      <c r="K100" s="36" t="n">
        <f aca="false">-K99*Premissas!$B$23</f>
        <v>-2705100.3</v>
      </c>
      <c r="L100" s="36" t="n">
        <f aca="false">-L99*Premissas!$B$23</f>
        <v>-2845364.76</v>
      </c>
      <c r="M100" s="36" t="n">
        <f aca="false">-M99*Premissas!$B$23</f>
        <v>-2985629.22</v>
      </c>
      <c r="N100" s="36" t="n">
        <f aca="false">-N99*Premissas!$B$23</f>
        <v>-3125893.68</v>
      </c>
      <c r="O100" s="36" t="n">
        <f aca="false">-O99*Premissas!$B$23</f>
        <v>-3266158.14</v>
      </c>
      <c r="P100" s="3"/>
    </row>
    <row r="101" customFormat="false" ht="15" hidden="false" customHeight="false" outlineLevel="0" collapsed="false">
      <c r="A101" s="3"/>
      <c r="B101" s="4" t="s">
        <v>538</v>
      </c>
      <c r="C101" s="36" t="n">
        <v>0</v>
      </c>
      <c r="D101" s="36" t="n">
        <v>0</v>
      </c>
      <c r="E101" s="36" t="n">
        <v>0</v>
      </c>
      <c r="F101" s="36" t="n">
        <f aca="false">-IF(F$96&lt;Premissas!$B$24,E98*(1-Premissas!$B$25)/Premissas!$B$24,F99)</f>
        <v>-2337741</v>
      </c>
      <c r="G101" s="36" t="n">
        <f aca="false">-IF(G$96&lt;Premissas!$B$24,E98*(1-Premissas!$B$25)/Premissas!$B$24,G99)</f>
        <v>-2337741</v>
      </c>
      <c r="H101" s="36" t="n">
        <f aca="false">-IF(H$96&lt;Premissas!$B$24,E98*(1-Premissas!$B$25)/Premissas!$B$24,H99)</f>
        <v>-2337741</v>
      </c>
      <c r="I101" s="36" t="n">
        <f aca="false">-IF(I$96&lt;Premissas!$B$24,E98*(1-Premissas!$B$25)/Premissas!$B$24,I99)</f>
        <v>-2337741</v>
      </c>
      <c r="J101" s="36" t="n">
        <f aca="false">-IF(J$96&lt;Premissas!$B$24,E98*(1-Premissas!$B$25)/Premissas!$B$24,J99)</f>
        <v>-2337741</v>
      </c>
      <c r="K101" s="36" t="n">
        <f aca="false">-IF(K$96&lt;Premissas!$B$24,E98*(1-Premissas!$B$25)/Premissas!$B$24,K99)</f>
        <v>-2337741</v>
      </c>
      <c r="L101" s="36" t="n">
        <f aca="false">-IF(L$96&lt;Premissas!$B$24,E98*(1-Premissas!$B$25)/Premissas!$B$24,L99)</f>
        <v>-2337741</v>
      </c>
      <c r="M101" s="36" t="n">
        <f aca="false">-IF(M$96&lt;Premissas!$B$24,E98*(1-Premissas!$B$25)/Premissas!$B$24,M99)</f>
        <v>-2337741</v>
      </c>
      <c r="N101" s="36" t="n">
        <f aca="false">-IF(N$96&lt;Premissas!$B$24,E98*(1-Premissas!$B$25)/Premissas!$B$24,N99)</f>
        <v>-2337741</v>
      </c>
      <c r="O101" s="36" t="n">
        <f aca="false">-IF(O$96&lt;Premissas!$B$24,E98*(1-Premissas!$B$25)/Premissas!$B$24,O99)</f>
        <v>-54435969</v>
      </c>
      <c r="P101" s="3"/>
    </row>
    <row r="102" customFormat="false" ht="15" hidden="false" customHeight="false" outlineLevel="0" collapsed="false">
      <c r="A102" s="3"/>
      <c r="B102" s="4" t="s">
        <v>539</v>
      </c>
      <c r="C102" s="36" t="n">
        <v>0</v>
      </c>
      <c r="D102" s="36" t="n">
        <v>0</v>
      </c>
      <c r="E102" s="36" t="n">
        <v>0</v>
      </c>
      <c r="F102" s="36" t="n">
        <f aca="false">MIN(-F100,MAX(0,Projecao!F63))*Premissas!$B$11</f>
        <v>0</v>
      </c>
      <c r="G102" s="36" t="n">
        <f aca="false">MIN(-G100,MAX(0,Projecao!G63))*Premissas!$B$11</f>
        <v>53902.5687652171</v>
      </c>
      <c r="H102" s="36" t="n">
        <f aca="false">MIN(-H100,MAX(0,Projecao!H63))*Premissas!$B$11</f>
        <v>65039.356828174</v>
      </c>
      <c r="I102" s="36" t="n">
        <f aca="false">MIN(-I100,MAX(0,Projecao!I63))*Premissas!$B$11</f>
        <v>76200.7805330182</v>
      </c>
      <c r="J102" s="36" t="n">
        <f aca="false">MIN(-J100,MAX(0,Projecao!J63))*Premissas!$B$11</f>
        <v>87379.8422490086</v>
      </c>
      <c r="K102" s="36" t="n">
        <f aca="false">MIN(-K100,MAX(0,Projecao!K63))*Premissas!$B$11</f>
        <v>98569.1409989786</v>
      </c>
      <c r="L102" s="36" t="n">
        <f aca="false">MIN(-L100,MAX(0,Projecao!L63))*Premissas!$B$11</f>
        <v>109760.85552351</v>
      </c>
      <c r="M102" s="36" t="n">
        <f aca="false">MIN(-M100,MAX(0,Projecao!M63))*Premissas!$B$11</f>
        <v>120946.726716142</v>
      </c>
      <c r="N102" s="36" t="n">
        <f aca="false">MIN(-N100,MAX(0,Projecao!N63))*Premissas!$B$11</f>
        <v>132118.039407725</v>
      </c>
      <c r="O102" s="36" t="n">
        <f aca="false">MIN(-O100,MAX(0,Projecao!O63))*Premissas!$B$11</f>
        <v>143265.603477309</v>
      </c>
      <c r="P102" s="3"/>
    </row>
    <row r="103" customFormat="false" ht="15" hidden="false" customHeight="false" outlineLevel="0" collapsed="false">
      <c r="A103" s="3"/>
      <c r="B103" s="14" t="s">
        <v>540</v>
      </c>
      <c r="C103" s="40" t="n">
        <f aca="false">C97+C98+C100+C101+C102</f>
        <v>-9541800</v>
      </c>
      <c r="D103" s="40" t="n">
        <f aca="false">D97+D98+D100+D101+D102</f>
        <v>-9541800</v>
      </c>
      <c r="E103" s="40" t="n">
        <f aca="false">E97+E98+E100+E101+E102</f>
        <v>4770900</v>
      </c>
      <c r="F103" s="40" t="n">
        <f aca="false">F97+F98+F100+F101+F102</f>
        <v>-3124135.98260869</v>
      </c>
      <c r="G103" s="40" t="n">
        <f aca="false">G97+G98+G100+G101+G102</f>
        <v>-2422042.84304348</v>
      </c>
      <c r="H103" s="40" t="n">
        <f aca="false">H97+H98+H100+H101+H102</f>
        <v>-2908238.08453478</v>
      </c>
      <c r="I103" s="40" t="n">
        <f aca="false">I97+I98+I100+I101+I102</f>
        <v>-2651951.99947083</v>
      </c>
      <c r="J103" s="40" t="n">
        <f aca="false">J97+J98+J100+J101+J102</f>
        <v>-3667563.85105495</v>
      </c>
      <c r="K103" s="40" t="n">
        <f aca="false">K97+K98+K100+K101+K102</f>
        <v>-5094878.36825275</v>
      </c>
      <c r="L103" s="40" t="n">
        <f aca="false">L97+L98+L100+L101+L102</f>
        <v>-2998209.91941813</v>
      </c>
      <c r="M103" s="40" t="n">
        <f aca="false">M97+M98+M100+M101+M102</f>
        <v>-3606069.36058554</v>
      </c>
      <c r="N103" s="40" t="n">
        <f aca="false">N97+N98+N100+N101+N102</f>
        <v>-3230328.88021836</v>
      </c>
      <c r="O103" s="40" t="n">
        <f aca="false">O97+O98+O100+O101+O102</f>
        <v>-30509923.0209737</v>
      </c>
      <c r="P103" s="3"/>
    </row>
    <row r="104" customFormat="false" ht="15" hidden="false" customHeight="false" outlineLevel="0" collapsed="false">
      <c r="A104" s="3"/>
      <c r="B104" s="4" t="s">
        <v>541</v>
      </c>
      <c r="C104" s="58" t="n">
        <v>0</v>
      </c>
      <c r="D104" s="58" t="n">
        <v>0</v>
      </c>
      <c r="E104" s="58" t="n">
        <v>0</v>
      </c>
      <c r="F104" s="58" t="n">
        <f aca="false">IF(F99=0,0,(Projecao!F60+Projecao!F64)/(-F100+E98*(1-Premissas!$B$25)/Premissas!$B$24))</f>
        <v>0.335349912643779</v>
      </c>
      <c r="G104" s="58" t="n">
        <f aca="false">IF(G99=0,0,(Projecao!G60+Projecao!G64)/(-G100+E98*(1-Premissas!$B$25)/Premissas!$B$24))</f>
        <v>0.502375765872299</v>
      </c>
      <c r="H104" s="58" t="n">
        <f aca="false">IF(H99=0,0,(Projecao!H60+Projecao!H64)/(-H100+E98*(1-Premissas!$B$25)/Premissas!$B$24))</f>
        <v>0.491807507944886</v>
      </c>
      <c r="I104" s="58" t="n">
        <f aca="false">IF(I99=0,0,(Projecao!I60+Projecao!I64)/(-I100+E98*(1-Premissas!$B$25)/Premissas!$B$24))</f>
        <v>0.481871825932417</v>
      </c>
      <c r="J104" s="58" t="n">
        <f aca="false">IF(J99=0,0,(Projecao!J60+Projecao!J64)/(-J100+E98*(1-Premissas!$B$25)/Premissas!$B$24))</f>
        <v>0.472511654458329</v>
      </c>
      <c r="K104" s="58" t="n">
        <f aca="false">IF(K99=0,0,(Projecao!K60+Projecao!K64)/(-K100+E98*(1-Premissas!$B$25)/Premissas!$B$24))</f>
        <v>0.463676121878615</v>
      </c>
      <c r="L104" s="58" t="n">
        <f aca="false">IF(L99=0,0,(Projecao!L60+Projecao!L64)/(-L100+E98*(1-Premissas!$B$25)/Premissas!$B$24))</f>
        <v>0.455319705869531</v>
      </c>
      <c r="M104" s="58" t="n">
        <f aca="false">IF(M99=0,0,(Projecao!M60+Projecao!M64)/(-M100+E98*(1-Premissas!$B$25)/Premissas!$B$24))</f>
        <v>0.447401522281507</v>
      </c>
      <c r="N104" s="58" t="n">
        <f aca="false">IF(N99=0,0,(Projecao!N60+Projecao!N64)/(-N100+E98*(1-Premissas!$B$25)/Premissas!$B$24))</f>
        <v>0.439884723302643</v>
      </c>
      <c r="O104" s="58" t="n">
        <f aca="false">IF(O99=0,0,(Projecao!O60+Projecao!O64)/(-O100+E98*(1-Premissas!$B$25)/Premissas!$B$24))</f>
        <v>0.432735985772003</v>
      </c>
      <c r="P104" s="3"/>
    </row>
    <row r="105" customFormat="false" ht="15" hidden="false" customHeight="false" outlineLevel="0" collapsed="false">
      <c r="A105" s="3"/>
      <c r="B105" s="14" t="s">
        <v>542</v>
      </c>
      <c r="C105" s="40" t="n">
        <f aca="false">-SUM(C103:E103)</f>
        <v>14312700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customFormat="false" ht="15" hidden="false" customHeight="false" outlineLevel="0" collapsed="false">
      <c r="A106" s="3"/>
      <c r="B106" s="14" t="s">
        <v>543</v>
      </c>
      <c r="C106" s="47" t="str">
        <f aca="false">IFERROR(IRR(C103:O103,0.05),IFERROR(IRR(C103:O103,-0.1),IF(SUM(C103:O103)&lt;0,"negativa","n/d")))</f>
        <v>negativa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15" hidden="false" customHeight="false" outlineLevel="0" collapsed="false">
      <c r="A107" s="3"/>
      <c r="B107" s="14" t="s">
        <v>544</v>
      </c>
      <c r="C107" s="59" t="n">
        <f aca="false">MIN(F104:N104)</f>
        <v>0.335349912643779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customFormat="false" ht="15" hidden="false" customHeight="false" outlineLevel="0" collapsed="false">
      <c r="A108" s="3"/>
      <c r="B108" s="14" t="s">
        <v>545</v>
      </c>
      <c r="C108" s="48" t="n">
        <f aca="false">-(G100+G101)</f>
        <v>4481783.46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customFormat="false" ht="15" hidden="false" customHeight="false" outlineLevel="0" collapsed="false">
      <c r="A109" s="3"/>
      <c r="B109" s="14" t="s">
        <v>546</v>
      </c>
      <c r="C109" s="48" t="n">
        <f aca="false">MIN(F103:N103)</f>
        <v>-5094878.36825275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" hidden="false" customHeight="false" outlineLevel="0" collapsed="false">
      <c r="A112" s="3"/>
      <c r="B112" s="19" t="s">
        <v>552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customFormat="false" ht="15" hidden="false" customHeight="false" outlineLevel="0" collapsed="false">
      <c r="A113" s="3"/>
      <c r="B113" s="3" t="s">
        <v>533</v>
      </c>
      <c r="C113" s="24" t="n">
        <v>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customFormat="false" ht="15" hidden="false" customHeight="false" outlineLevel="0" collapsed="false">
      <c r="A114" s="3"/>
      <c r="B114" s="14" t="s">
        <v>398</v>
      </c>
      <c r="C114" s="14" t="n">
        <v>-2</v>
      </c>
      <c r="D114" s="14" t="n">
        <v>-1</v>
      </c>
      <c r="E114" s="14" t="n">
        <v>0</v>
      </c>
      <c r="F114" s="14" t="n">
        <v>1</v>
      </c>
      <c r="G114" s="14" t="n">
        <v>2</v>
      </c>
      <c r="H114" s="14" t="n">
        <v>3</v>
      </c>
      <c r="I114" s="14" t="n">
        <v>4</v>
      </c>
      <c r="J114" s="14" t="n">
        <v>5</v>
      </c>
      <c r="K114" s="14" t="n">
        <v>6</v>
      </c>
      <c r="L114" s="14" t="n">
        <v>7</v>
      </c>
      <c r="M114" s="14" t="n">
        <v>8</v>
      </c>
      <c r="N114" s="14" t="n">
        <v>9</v>
      </c>
      <c r="O114" s="14" t="n">
        <v>10</v>
      </c>
      <c r="P114" s="3"/>
    </row>
    <row r="115" customFormat="false" ht="15" hidden="false" customHeight="false" outlineLevel="0" collapsed="false">
      <c r="A115" s="3"/>
      <c r="B115" s="4" t="s">
        <v>534</v>
      </c>
      <c r="C115" s="20" t="n">
        <f aca="false">Projecao!C438</f>
        <v>0</v>
      </c>
      <c r="D115" s="20" t="n">
        <f aca="false">Projecao!D438</f>
        <v>0</v>
      </c>
      <c r="E115" s="20" t="n">
        <f aca="false">Projecao!E438</f>
        <v>-10600000</v>
      </c>
      <c r="F115" s="20" t="n">
        <f aca="false">Projecao!F438</f>
        <v>-335760.643478261</v>
      </c>
      <c r="G115" s="20" t="n">
        <f aca="false">Projecao!G438</f>
        <v>20184.5226086951</v>
      </c>
      <c r="H115" s="20" t="n">
        <f aca="false">Projecao!H438</f>
        <v>-369195.726713044</v>
      </c>
      <c r="I115" s="20" t="n">
        <f aca="false">Projecao!I438</f>
        <v>-16954.703139437</v>
      </c>
      <c r="J115" s="20" t="n">
        <f aca="false">Projecao!J438</f>
        <v>-881210.945224246</v>
      </c>
      <c r="K115" s="20" t="n">
        <f aca="false">Projecao!K438</f>
        <v>-549830.318687063</v>
      </c>
      <c r="L115" s="20" t="n">
        <f aca="false">Projecao!L438</f>
        <v>-80656.1076804682</v>
      </c>
      <c r="M115" s="20" t="n">
        <f aca="false">Projecao!M438</f>
        <v>-596149.616570944</v>
      </c>
      <c r="N115" s="20" t="n">
        <f aca="false">Projecao!N438</f>
        <v>-128978.458990395</v>
      </c>
      <c r="O115" s="20" t="n">
        <f aca="false">Projecao!O438</f>
        <v>4035901.28484573</v>
      </c>
      <c r="P115" s="3"/>
    </row>
    <row r="116" customFormat="false" ht="15" hidden="false" customHeight="false" outlineLevel="0" collapsed="false">
      <c r="A116" s="3"/>
      <c r="B116" s="4" t="s">
        <v>535</v>
      </c>
      <c r="C116" s="36" t="n">
        <v>0</v>
      </c>
      <c r="D116" s="36" t="n">
        <v>0</v>
      </c>
      <c r="E116" s="36" t="n">
        <f aca="false">Projecao!$C$451*$C$113</f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0</v>
      </c>
      <c r="K116" s="36" t="n">
        <v>0</v>
      </c>
      <c r="L116" s="36" t="n">
        <v>0</v>
      </c>
      <c r="M116" s="36" t="n">
        <v>0</v>
      </c>
      <c r="N116" s="36" t="n">
        <v>0</v>
      </c>
      <c r="O116" s="36" t="n">
        <v>0</v>
      </c>
      <c r="P116" s="3"/>
    </row>
    <row r="117" customFormat="false" ht="15" hidden="false" customHeight="false" outlineLevel="0" collapsed="false">
      <c r="A117" s="3"/>
      <c r="B117" s="4" t="s">
        <v>536</v>
      </c>
      <c r="C117" s="36" t="n">
        <v>0</v>
      </c>
      <c r="D117" s="36" t="n">
        <v>0</v>
      </c>
      <c r="E117" s="36" t="n">
        <v>0</v>
      </c>
      <c r="F117" s="36" t="n">
        <f aca="false">E116</f>
        <v>0</v>
      </c>
      <c r="G117" s="36" t="n">
        <f aca="false">F117-F119</f>
        <v>0</v>
      </c>
      <c r="H117" s="36" t="n">
        <f aca="false">G117-G119</f>
        <v>0</v>
      </c>
      <c r="I117" s="36" t="n">
        <f aca="false">H117-H119</f>
        <v>0</v>
      </c>
      <c r="J117" s="36" t="n">
        <f aca="false">I117-I119</f>
        <v>0</v>
      </c>
      <c r="K117" s="36" t="n">
        <f aca="false">J117-J119</f>
        <v>0</v>
      </c>
      <c r="L117" s="36" t="n">
        <f aca="false">K117-K119</f>
        <v>0</v>
      </c>
      <c r="M117" s="36" t="n">
        <f aca="false">L117-L119</f>
        <v>0</v>
      </c>
      <c r="N117" s="36" t="n">
        <f aca="false">M117-M119</f>
        <v>0</v>
      </c>
      <c r="O117" s="36" t="n">
        <f aca="false">N117-N119</f>
        <v>0</v>
      </c>
      <c r="P117" s="3"/>
    </row>
    <row r="118" customFormat="false" ht="15" hidden="false" customHeight="false" outlineLevel="0" collapsed="false">
      <c r="A118" s="3"/>
      <c r="B118" s="4" t="s">
        <v>537</v>
      </c>
      <c r="C118" s="36" t="n">
        <f aca="false">-C117*Premissas!$B$23</f>
        <v>-0</v>
      </c>
      <c r="D118" s="36" t="n">
        <f aca="false">-D117*Premissas!$B$23</f>
        <v>-0</v>
      </c>
      <c r="E118" s="36" t="n">
        <f aca="false">-E117*Premissas!$B$23</f>
        <v>-0</v>
      </c>
      <c r="F118" s="36" t="n">
        <f aca="false">-F117*Premissas!$B$23</f>
        <v>-0</v>
      </c>
      <c r="G118" s="36" t="n">
        <f aca="false">-G117*Premissas!$B$23</f>
        <v>-0</v>
      </c>
      <c r="H118" s="36" t="n">
        <f aca="false">-H117*Premissas!$B$23</f>
        <v>-0</v>
      </c>
      <c r="I118" s="36" t="n">
        <f aca="false">-I117*Premissas!$B$23</f>
        <v>-0</v>
      </c>
      <c r="J118" s="36" t="n">
        <f aca="false">-J117*Premissas!$B$23</f>
        <v>-0</v>
      </c>
      <c r="K118" s="36" t="n">
        <f aca="false">-K117*Premissas!$B$23</f>
        <v>-0</v>
      </c>
      <c r="L118" s="36" t="n">
        <f aca="false">-L117*Premissas!$B$23</f>
        <v>-0</v>
      </c>
      <c r="M118" s="36" t="n">
        <f aca="false">-M117*Premissas!$B$23</f>
        <v>-0</v>
      </c>
      <c r="N118" s="36" t="n">
        <f aca="false">-N117*Premissas!$B$23</f>
        <v>-0</v>
      </c>
      <c r="O118" s="36" t="n">
        <f aca="false">-O117*Premissas!$B$23</f>
        <v>-0</v>
      </c>
      <c r="P118" s="3"/>
    </row>
    <row r="119" customFormat="false" ht="15" hidden="false" customHeight="false" outlineLevel="0" collapsed="false">
      <c r="A119" s="3"/>
      <c r="B119" s="4" t="s">
        <v>538</v>
      </c>
      <c r="C119" s="36" t="n">
        <v>0</v>
      </c>
      <c r="D119" s="36" t="n">
        <v>0</v>
      </c>
      <c r="E119" s="36" t="n">
        <v>0</v>
      </c>
      <c r="F119" s="36" t="n">
        <f aca="false">-IF(F$114&lt;Premissas!$B$24,E116*(1-Premissas!$B$25)/Premissas!$B$24,F117)</f>
        <v>-0</v>
      </c>
      <c r="G119" s="36" t="n">
        <f aca="false">-IF(G$114&lt;Premissas!$B$24,E116*(1-Premissas!$B$25)/Premissas!$B$24,G117)</f>
        <v>-0</v>
      </c>
      <c r="H119" s="36" t="n">
        <f aca="false">-IF(H$114&lt;Premissas!$B$24,E116*(1-Premissas!$B$25)/Premissas!$B$24,H117)</f>
        <v>-0</v>
      </c>
      <c r="I119" s="36" t="n">
        <f aca="false">-IF(I$114&lt;Premissas!$B$24,E116*(1-Premissas!$B$25)/Premissas!$B$24,I117)</f>
        <v>-0</v>
      </c>
      <c r="J119" s="36" t="n">
        <f aca="false">-IF(J$114&lt;Premissas!$B$24,E116*(1-Premissas!$B$25)/Premissas!$B$24,J117)</f>
        <v>-0</v>
      </c>
      <c r="K119" s="36" t="n">
        <f aca="false">-IF(K$114&lt;Premissas!$B$24,E116*(1-Premissas!$B$25)/Premissas!$B$24,K117)</f>
        <v>-0</v>
      </c>
      <c r="L119" s="36" t="n">
        <f aca="false">-IF(L$114&lt;Premissas!$B$24,E116*(1-Premissas!$B$25)/Premissas!$B$24,L117)</f>
        <v>-0</v>
      </c>
      <c r="M119" s="36" t="n">
        <f aca="false">-IF(M$114&lt;Premissas!$B$24,E116*(1-Premissas!$B$25)/Premissas!$B$24,M117)</f>
        <v>-0</v>
      </c>
      <c r="N119" s="36" t="n">
        <f aca="false">-IF(N$114&lt;Premissas!$B$24,E116*(1-Premissas!$B$25)/Premissas!$B$24,N117)</f>
        <v>-0</v>
      </c>
      <c r="O119" s="36" t="n">
        <f aca="false">-IF(O$114&lt;Premissas!$B$24,E116*(1-Premissas!$B$25)/Premissas!$B$24,O117)</f>
        <v>-0</v>
      </c>
      <c r="P119" s="3"/>
    </row>
    <row r="120" customFormat="false" ht="15" hidden="false" customHeight="false" outlineLevel="0" collapsed="false">
      <c r="A120" s="3"/>
      <c r="B120" s="4" t="s">
        <v>539</v>
      </c>
      <c r="C120" s="36" t="n">
        <v>0</v>
      </c>
      <c r="D120" s="36" t="n">
        <v>0</v>
      </c>
      <c r="E120" s="36" t="n">
        <v>0</v>
      </c>
      <c r="F120" s="36" t="n">
        <f aca="false">MIN(-F118,MAX(0,Projecao!F432))*Premissas!$B$11</f>
        <v>0</v>
      </c>
      <c r="G120" s="36" t="n">
        <f aca="false">MIN(-G118,MAX(0,Projecao!G432))*Premissas!$B$11</f>
        <v>0</v>
      </c>
      <c r="H120" s="36" t="n">
        <f aca="false">MIN(-H118,MAX(0,Projecao!H432))*Premissas!$B$11</f>
        <v>0</v>
      </c>
      <c r="I120" s="36" t="n">
        <f aca="false">MIN(-I118,MAX(0,Projecao!I432))*Premissas!$B$11</f>
        <v>0</v>
      </c>
      <c r="J120" s="36" t="n">
        <f aca="false">MIN(-J118,MAX(0,Projecao!J432))*Premissas!$B$11</f>
        <v>0</v>
      </c>
      <c r="K120" s="36" t="n">
        <f aca="false">MIN(-K118,MAX(0,Projecao!K432))*Premissas!$B$11</f>
        <v>0</v>
      </c>
      <c r="L120" s="36" t="n">
        <f aca="false">MIN(-L118,MAX(0,Projecao!L432))*Premissas!$B$11</f>
        <v>0</v>
      </c>
      <c r="M120" s="36" t="n">
        <f aca="false">MIN(-M118,MAX(0,Projecao!M432))*Premissas!$B$11</f>
        <v>0</v>
      </c>
      <c r="N120" s="36" t="n">
        <f aca="false">MIN(-N118,MAX(0,Projecao!N432))*Premissas!$B$11</f>
        <v>0</v>
      </c>
      <c r="O120" s="36" t="n">
        <f aca="false">MIN(-O118,MAX(0,Projecao!O432))*Premissas!$B$11</f>
        <v>0</v>
      </c>
      <c r="P120" s="3"/>
    </row>
    <row r="121" customFormat="false" ht="15" hidden="false" customHeight="false" outlineLevel="0" collapsed="false">
      <c r="A121" s="3"/>
      <c r="B121" s="14" t="s">
        <v>540</v>
      </c>
      <c r="C121" s="40" t="n">
        <f aca="false">C115+C116+C118+C119+C120</f>
        <v>0</v>
      </c>
      <c r="D121" s="40" t="n">
        <f aca="false">D115+D116+D118+D119+D120</f>
        <v>0</v>
      </c>
      <c r="E121" s="40" t="n">
        <f aca="false">E115+E116+E118+E119+E120</f>
        <v>-10600000</v>
      </c>
      <c r="F121" s="40" t="n">
        <f aca="false">F115+F116+F118+F119+F120</f>
        <v>-335760.643478261</v>
      </c>
      <c r="G121" s="40" t="n">
        <f aca="false">G115+G116+G118+G119+G120</f>
        <v>20184.5226086951</v>
      </c>
      <c r="H121" s="40" t="n">
        <f aca="false">H115+H116+H118+H119+H120</f>
        <v>-369195.726713044</v>
      </c>
      <c r="I121" s="40" t="n">
        <f aca="false">I115+I116+I118+I119+I120</f>
        <v>-16954.703139437</v>
      </c>
      <c r="J121" s="40" t="n">
        <f aca="false">J115+J116+J118+J119+J120</f>
        <v>-881210.945224246</v>
      </c>
      <c r="K121" s="40" t="n">
        <f aca="false">K115+K116+K118+K119+K120</f>
        <v>-549830.318687063</v>
      </c>
      <c r="L121" s="40" t="n">
        <f aca="false">L115+L116+L118+L119+L120</f>
        <v>-80656.1076804682</v>
      </c>
      <c r="M121" s="40" t="n">
        <f aca="false">M115+M116+M118+M119+M120</f>
        <v>-596149.616570944</v>
      </c>
      <c r="N121" s="40" t="n">
        <f aca="false">N115+N116+N118+N119+N120</f>
        <v>-128978.458990395</v>
      </c>
      <c r="O121" s="40" t="n">
        <f aca="false">O115+O116+O118+O119+O120</f>
        <v>4035901.28484573</v>
      </c>
      <c r="P121" s="3"/>
    </row>
    <row r="122" customFormat="false" ht="15" hidden="false" customHeight="false" outlineLevel="0" collapsed="false">
      <c r="A122" s="3"/>
      <c r="B122" s="4" t="s">
        <v>541</v>
      </c>
      <c r="C122" s="58" t="n">
        <v>0</v>
      </c>
      <c r="D122" s="58" t="n">
        <v>0</v>
      </c>
      <c r="E122" s="58" t="n">
        <v>0</v>
      </c>
      <c r="F122" s="58" t="n">
        <f aca="false">IF(F117=0,0,(Projecao!F429+Projecao!F433)/(-F118+E116*(1-Premissas!$B$25)/Premissas!$B$24))</f>
        <v>0</v>
      </c>
      <c r="G122" s="58" t="n">
        <f aca="false">IF(G117=0,0,(Projecao!G429+Projecao!G433)/(-G118+E116*(1-Premissas!$B$25)/Premissas!$B$24))</f>
        <v>0</v>
      </c>
      <c r="H122" s="58" t="n">
        <f aca="false">IF(H117=0,0,(Projecao!H429+Projecao!H433)/(-H118+E116*(1-Premissas!$B$25)/Premissas!$B$24))</f>
        <v>0</v>
      </c>
      <c r="I122" s="58" t="n">
        <f aca="false">IF(I117=0,0,(Projecao!I429+Projecao!I433)/(-I118+E116*(1-Premissas!$B$25)/Premissas!$B$24))</f>
        <v>0</v>
      </c>
      <c r="J122" s="58" t="n">
        <f aca="false">IF(J117=0,0,(Projecao!J429+Projecao!J433)/(-J118+E116*(1-Premissas!$B$25)/Premissas!$B$24))</f>
        <v>0</v>
      </c>
      <c r="K122" s="58" t="n">
        <f aca="false">IF(K117=0,0,(Projecao!K429+Projecao!K433)/(-K118+E116*(1-Premissas!$B$25)/Premissas!$B$24))</f>
        <v>0</v>
      </c>
      <c r="L122" s="58" t="n">
        <f aca="false">IF(L117=0,0,(Projecao!L429+Projecao!L433)/(-L118+E116*(1-Premissas!$B$25)/Premissas!$B$24))</f>
        <v>0</v>
      </c>
      <c r="M122" s="58" t="n">
        <f aca="false">IF(M117=0,0,(Projecao!M429+Projecao!M433)/(-M118+E116*(1-Premissas!$B$25)/Premissas!$B$24))</f>
        <v>0</v>
      </c>
      <c r="N122" s="58" t="n">
        <f aca="false">IF(N117=0,0,(Projecao!N429+Projecao!N433)/(-N118+E116*(1-Premissas!$B$25)/Premissas!$B$24))</f>
        <v>0</v>
      </c>
      <c r="O122" s="58" t="n">
        <f aca="false">IF(O117=0,0,(Projecao!O429+Projecao!O433)/(-O118+E116*(1-Premissas!$B$25)/Premissas!$B$24))</f>
        <v>0</v>
      </c>
      <c r="P122" s="3"/>
    </row>
    <row r="123" customFormat="false" ht="15" hidden="false" customHeight="false" outlineLevel="0" collapsed="false">
      <c r="A123" s="3"/>
      <c r="B123" s="14" t="s">
        <v>542</v>
      </c>
      <c r="C123" s="40" t="n">
        <f aca="false">-SUM(C121:E121)</f>
        <v>10600000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customFormat="false" ht="15" hidden="false" customHeight="false" outlineLevel="0" collapsed="false">
      <c r="A124" s="3"/>
      <c r="B124" s="14" t="s">
        <v>543</v>
      </c>
      <c r="C124" s="47" t="n">
        <f aca="false">IFERROR(IRR(C121:O121,0.05),IFERROR(IRR(C121:O121,-0.1),IF(SUM(C121:O121)&lt;0,"negativa","n/d")))</f>
        <v>-0.135553152458152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customFormat="false" ht="15" hidden="false" customHeight="false" outlineLevel="0" collapsed="false">
      <c r="A125" s="3"/>
      <c r="B125" s="14" t="s">
        <v>544</v>
      </c>
      <c r="C125" s="59" t="s">
        <v>524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customFormat="false" ht="15" hidden="false" customHeight="false" outlineLevel="0" collapsed="false">
      <c r="A126" s="3"/>
      <c r="B126" s="14" t="s">
        <v>545</v>
      </c>
      <c r="C126" s="48" t="n">
        <f aca="false">-(G118+G119)</f>
        <v>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customFormat="false" ht="15" hidden="false" customHeight="false" outlineLevel="0" collapsed="false">
      <c r="A127" s="3"/>
      <c r="B127" s="14" t="s">
        <v>546</v>
      </c>
      <c r="C127" s="48" t="n">
        <f aca="false">MIN(F121:N121)</f>
        <v>-881210.945224246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customFormat="false" ht="15" hidden="false" customHeight="false" outlineLevel="0" collapsed="false">
      <c r="A130" s="3"/>
      <c r="B130" s="19" t="s">
        <v>553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customFormat="false" ht="15" hidden="false" customHeight="false" outlineLevel="0" collapsed="false">
      <c r="A131" s="3"/>
      <c r="B131" s="3" t="s">
        <v>533</v>
      </c>
      <c r="C131" s="24" t="n">
        <v>0.5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" hidden="false" customHeight="false" outlineLevel="0" collapsed="false">
      <c r="A132" s="3"/>
      <c r="B132" s="14" t="s">
        <v>398</v>
      </c>
      <c r="C132" s="14" t="n">
        <v>-2</v>
      </c>
      <c r="D132" s="14" t="n">
        <v>-1</v>
      </c>
      <c r="E132" s="14" t="n">
        <v>0</v>
      </c>
      <c r="F132" s="14" t="n">
        <v>1</v>
      </c>
      <c r="G132" s="14" t="n">
        <v>2</v>
      </c>
      <c r="H132" s="14" t="n">
        <v>3</v>
      </c>
      <c r="I132" s="14" t="n">
        <v>4</v>
      </c>
      <c r="J132" s="14" t="n">
        <v>5</v>
      </c>
      <c r="K132" s="14" t="n">
        <v>6</v>
      </c>
      <c r="L132" s="14" t="n">
        <v>7</v>
      </c>
      <c r="M132" s="14" t="n">
        <v>8</v>
      </c>
      <c r="N132" s="14" t="n">
        <v>9</v>
      </c>
      <c r="O132" s="14" t="n">
        <v>10</v>
      </c>
      <c r="P132" s="3"/>
    </row>
    <row r="133" customFormat="false" ht="15" hidden="false" customHeight="false" outlineLevel="0" collapsed="false">
      <c r="A133" s="3"/>
      <c r="B133" s="4" t="s">
        <v>534</v>
      </c>
      <c r="C133" s="20" t="n">
        <f aca="false">Projecao!C438</f>
        <v>0</v>
      </c>
      <c r="D133" s="20" t="n">
        <f aca="false">Projecao!D438</f>
        <v>0</v>
      </c>
      <c r="E133" s="20" t="n">
        <f aca="false">Projecao!E438</f>
        <v>-10600000</v>
      </c>
      <c r="F133" s="20" t="n">
        <f aca="false">Projecao!F438</f>
        <v>-335760.643478261</v>
      </c>
      <c r="G133" s="20" t="n">
        <f aca="false">Projecao!G438</f>
        <v>20184.5226086951</v>
      </c>
      <c r="H133" s="20" t="n">
        <f aca="false">Projecao!H438</f>
        <v>-369195.726713044</v>
      </c>
      <c r="I133" s="20" t="n">
        <f aca="false">Projecao!I438</f>
        <v>-16954.703139437</v>
      </c>
      <c r="J133" s="20" t="n">
        <f aca="false">Projecao!J438</f>
        <v>-881210.945224246</v>
      </c>
      <c r="K133" s="20" t="n">
        <f aca="false">Projecao!K438</f>
        <v>-549830.318687063</v>
      </c>
      <c r="L133" s="20" t="n">
        <f aca="false">Projecao!L438</f>
        <v>-80656.1076804682</v>
      </c>
      <c r="M133" s="20" t="n">
        <f aca="false">Projecao!M438</f>
        <v>-596149.616570944</v>
      </c>
      <c r="N133" s="20" t="n">
        <f aca="false">Projecao!N438</f>
        <v>-128978.458990395</v>
      </c>
      <c r="O133" s="20" t="n">
        <f aca="false">Projecao!O438</f>
        <v>4035901.28484573</v>
      </c>
      <c r="P133" s="3"/>
    </row>
    <row r="134" customFormat="false" ht="15" hidden="false" customHeight="false" outlineLevel="0" collapsed="false">
      <c r="A134" s="3"/>
      <c r="B134" s="4" t="s">
        <v>535</v>
      </c>
      <c r="C134" s="36" t="n">
        <v>0</v>
      </c>
      <c r="D134" s="36" t="n">
        <v>0</v>
      </c>
      <c r="E134" s="36" t="n">
        <f aca="false">Projecao!$C$451*$C$131</f>
        <v>5300000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0</v>
      </c>
      <c r="K134" s="36" t="n">
        <v>0</v>
      </c>
      <c r="L134" s="36" t="n">
        <v>0</v>
      </c>
      <c r="M134" s="36" t="n">
        <v>0</v>
      </c>
      <c r="N134" s="36" t="n">
        <v>0</v>
      </c>
      <c r="O134" s="36" t="n">
        <v>0</v>
      </c>
      <c r="P134" s="3"/>
    </row>
    <row r="135" customFormat="false" ht="15" hidden="false" customHeight="false" outlineLevel="0" collapsed="false">
      <c r="A135" s="3"/>
      <c r="B135" s="4" t="s">
        <v>536</v>
      </c>
      <c r="C135" s="36" t="n">
        <v>0</v>
      </c>
      <c r="D135" s="36" t="n">
        <v>0</v>
      </c>
      <c r="E135" s="36" t="n">
        <v>0</v>
      </c>
      <c r="F135" s="36" t="n">
        <f aca="false">E134</f>
        <v>5300000</v>
      </c>
      <c r="G135" s="36" t="n">
        <f aca="false">F135-F137</f>
        <v>5671000</v>
      </c>
      <c r="H135" s="36" t="n">
        <f aca="false">G135-G137</f>
        <v>6042000</v>
      </c>
      <c r="I135" s="36" t="n">
        <f aca="false">H135-H137</f>
        <v>6413000</v>
      </c>
      <c r="J135" s="36" t="n">
        <f aca="false">I135-I137</f>
        <v>6784000</v>
      </c>
      <c r="K135" s="36" t="n">
        <f aca="false">J135-J137</f>
        <v>7155000</v>
      </c>
      <c r="L135" s="36" t="n">
        <f aca="false">K135-K137</f>
        <v>7526000</v>
      </c>
      <c r="M135" s="36" t="n">
        <f aca="false">L135-L137</f>
        <v>7897000</v>
      </c>
      <c r="N135" s="36" t="n">
        <f aca="false">M135-M137</f>
        <v>8268000</v>
      </c>
      <c r="O135" s="36" t="n">
        <f aca="false">N135-N137</f>
        <v>8639000</v>
      </c>
      <c r="P135" s="3"/>
    </row>
    <row r="136" customFormat="false" ht="15" hidden="false" customHeight="false" outlineLevel="0" collapsed="false">
      <c r="A136" s="3"/>
      <c r="B136" s="4" t="s">
        <v>537</v>
      </c>
      <c r="C136" s="36" t="n">
        <f aca="false">-C135*Premissas!$B$23</f>
        <v>-0</v>
      </c>
      <c r="D136" s="36" t="n">
        <f aca="false">-D135*Premissas!$B$23</f>
        <v>-0</v>
      </c>
      <c r="E136" s="36" t="n">
        <f aca="false">-E135*Premissas!$B$23</f>
        <v>-0</v>
      </c>
      <c r="F136" s="36" t="n">
        <f aca="false">-F135*Premissas!$B$23</f>
        <v>-318000</v>
      </c>
      <c r="G136" s="36" t="n">
        <f aca="false">-G135*Premissas!$B$23</f>
        <v>-340260</v>
      </c>
      <c r="H136" s="36" t="n">
        <f aca="false">-H135*Premissas!$B$23</f>
        <v>-362520</v>
      </c>
      <c r="I136" s="36" t="n">
        <f aca="false">-I135*Premissas!$B$23</f>
        <v>-384780</v>
      </c>
      <c r="J136" s="36" t="n">
        <f aca="false">-J135*Premissas!$B$23</f>
        <v>-407040</v>
      </c>
      <c r="K136" s="36" t="n">
        <f aca="false">-K135*Premissas!$B$23</f>
        <v>-429300</v>
      </c>
      <c r="L136" s="36" t="n">
        <f aca="false">-L135*Premissas!$B$23</f>
        <v>-451560</v>
      </c>
      <c r="M136" s="36" t="n">
        <f aca="false">-M135*Premissas!$B$23</f>
        <v>-473820</v>
      </c>
      <c r="N136" s="36" t="n">
        <f aca="false">-N135*Premissas!$B$23</f>
        <v>-496080</v>
      </c>
      <c r="O136" s="36" t="n">
        <f aca="false">-O135*Premissas!$B$23</f>
        <v>-518340</v>
      </c>
      <c r="P136" s="3"/>
    </row>
    <row r="137" customFormat="false" ht="15" hidden="false" customHeight="false" outlineLevel="0" collapsed="false">
      <c r="A137" s="3"/>
      <c r="B137" s="4" t="s">
        <v>538</v>
      </c>
      <c r="C137" s="36" t="n">
        <v>0</v>
      </c>
      <c r="D137" s="36" t="n">
        <v>0</v>
      </c>
      <c r="E137" s="36" t="n">
        <v>0</v>
      </c>
      <c r="F137" s="36" t="n">
        <f aca="false">-IF(F$132&lt;Premissas!$B$24,E134*(1-Premissas!$B$25)/Premissas!$B$24,F135)</f>
        <v>-371000</v>
      </c>
      <c r="G137" s="36" t="n">
        <f aca="false">-IF(G$132&lt;Premissas!$B$24,E134*(1-Premissas!$B$25)/Premissas!$B$24,G135)</f>
        <v>-371000</v>
      </c>
      <c r="H137" s="36" t="n">
        <f aca="false">-IF(H$132&lt;Premissas!$B$24,E134*(1-Premissas!$B$25)/Premissas!$B$24,H135)</f>
        <v>-371000</v>
      </c>
      <c r="I137" s="36" t="n">
        <f aca="false">-IF(I$132&lt;Premissas!$B$24,E134*(1-Premissas!$B$25)/Premissas!$B$24,I135)</f>
        <v>-371000</v>
      </c>
      <c r="J137" s="36" t="n">
        <f aca="false">-IF(J$132&lt;Premissas!$B$24,E134*(1-Premissas!$B$25)/Premissas!$B$24,J135)</f>
        <v>-371000</v>
      </c>
      <c r="K137" s="36" t="n">
        <f aca="false">-IF(K$132&lt;Premissas!$B$24,E134*(1-Premissas!$B$25)/Premissas!$B$24,K135)</f>
        <v>-371000</v>
      </c>
      <c r="L137" s="36" t="n">
        <f aca="false">-IF(L$132&lt;Premissas!$B$24,E134*(1-Premissas!$B$25)/Premissas!$B$24,L135)</f>
        <v>-371000</v>
      </c>
      <c r="M137" s="36" t="n">
        <f aca="false">-IF(M$132&lt;Premissas!$B$24,E134*(1-Premissas!$B$25)/Premissas!$B$24,M135)</f>
        <v>-371000</v>
      </c>
      <c r="N137" s="36" t="n">
        <f aca="false">-IF(N$132&lt;Premissas!$B$24,E134*(1-Premissas!$B$25)/Premissas!$B$24,N135)</f>
        <v>-371000</v>
      </c>
      <c r="O137" s="36" t="n">
        <f aca="false">-IF(O$132&lt;Premissas!$B$24,E134*(1-Premissas!$B$25)/Premissas!$B$24,O135)</f>
        <v>-8639000</v>
      </c>
      <c r="P137" s="3"/>
    </row>
    <row r="138" customFormat="false" ht="15" hidden="false" customHeight="false" outlineLevel="0" collapsed="false">
      <c r="A138" s="3"/>
      <c r="B138" s="4" t="s">
        <v>539</v>
      </c>
      <c r="C138" s="36" t="n">
        <v>0</v>
      </c>
      <c r="D138" s="36" t="n">
        <v>0</v>
      </c>
      <c r="E138" s="36" t="n">
        <v>0</v>
      </c>
      <c r="F138" s="36" t="n">
        <f aca="false">MIN(-F136,MAX(0,Projecao!F432))*Premissas!$B$11</f>
        <v>0</v>
      </c>
      <c r="G138" s="36" t="n">
        <f aca="false">MIN(-G136,MAX(0,Projecao!G432))*Premissas!$B$11</f>
        <v>0</v>
      </c>
      <c r="H138" s="36" t="n">
        <f aca="false">MIN(-H136,MAX(0,Projecao!H432))*Premissas!$B$11</f>
        <v>0</v>
      </c>
      <c r="I138" s="36" t="n">
        <f aca="false">MIN(-I136,MAX(0,Projecao!I432))*Premissas!$B$11</f>
        <v>0</v>
      </c>
      <c r="J138" s="36" t="n">
        <f aca="false">MIN(-J136,MAX(0,Projecao!J432))*Premissas!$B$11</f>
        <v>0</v>
      </c>
      <c r="K138" s="36" t="n">
        <f aca="false">MIN(-K136,MAX(0,Projecao!K432))*Premissas!$B$11</f>
        <v>0</v>
      </c>
      <c r="L138" s="36" t="n">
        <f aca="false">MIN(-L136,MAX(0,Projecao!L432))*Premissas!$B$11</f>
        <v>0</v>
      </c>
      <c r="M138" s="36" t="n">
        <f aca="false">MIN(-M136,MAX(0,Projecao!M432))*Premissas!$B$11</f>
        <v>0</v>
      </c>
      <c r="N138" s="36" t="n">
        <f aca="false">MIN(-N136,MAX(0,Projecao!N432))*Premissas!$B$11</f>
        <v>0</v>
      </c>
      <c r="O138" s="36" t="n">
        <f aca="false">MIN(-O136,MAX(0,Projecao!O432))*Premissas!$B$11</f>
        <v>0</v>
      </c>
      <c r="P138" s="3"/>
    </row>
    <row r="139" customFormat="false" ht="15" hidden="false" customHeight="false" outlineLevel="0" collapsed="false">
      <c r="A139" s="3"/>
      <c r="B139" s="14" t="s">
        <v>540</v>
      </c>
      <c r="C139" s="40" t="n">
        <f aca="false">C133+C134+C136+C137+C138</f>
        <v>0</v>
      </c>
      <c r="D139" s="40" t="n">
        <f aca="false">D133+D134+D136+D137+D138</f>
        <v>0</v>
      </c>
      <c r="E139" s="40" t="n">
        <f aca="false">E133+E134+E136+E137+E138</f>
        <v>-5300000</v>
      </c>
      <c r="F139" s="40" t="n">
        <f aca="false">F133+F134+F136+F137+F138</f>
        <v>-1024760.64347826</v>
      </c>
      <c r="G139" s="40" t="n">
        <f aca="false">G133+G134+G136+G137+G138</f>
        <v>-691075.477391305</v>
      </c>
      <c r="H139" s="40" t="n">
        <f aca="false">H133+H134+H136+H137+H138</f>
        <v>-1102715.72671304</v>
      </c>
      <c r="I139" s="40" t="n">
        <f aca="false">I133+I134+I136+I137+I138</f>
        <v>-772734.703139437</v>
      </c>
      <c r="J139" s="40" t="n">
        <f aca="false">J133+J134+J136+J137+J138</f>
        <v>-1659250.94522425</v>
      </c>
      <c r="K139" s="40" t="n">
        <f aca="false">K133+K134+K136+K137+K138</f>
        <v>-1350130.31868706</v>
      </c>
      <c r="L139" s="40" t="n">
        <f aca="false">L133+L134+L136+L137+L138</f>
        <v>-903216.107680468</v>
      </c>
      <c r="M139" s="40" t="n">
        <f aca="false">M133+M134+M136+M137+M138</f>
        <v>-1440969.61657094</v>
      </c>
      <c r="N139" s="40" t="n">
        <f aca="false">N133+N134+N136+N137+N138</f>
        <v>-996058.458990395</v>
      </c>
      <c r="O139" s="40" t="n">
        <f aca="false">O133+O134+O136+O137+O138</f>
        <v>-5121438.71515427</v>
      </c>
      <c r="P139" s="3"/>
    </row>
    <row r="140" customFormat="false" ht="15" hidden="false" customHeight="false" outlineLevel="0" collapsed="false">
      <c r="A140" s="3"/>
      <c r="B140" s="4" t="s">
        <v>541</v>
      </c>
      <c r="C140" s="58" t="n">
        <v>0</v>
      </c>
      <c r="D140" s="58" t="n">
        <v>0</v>
      </c>
      <c r="E140" s="58" t="n">
        <v>0</v>
      </c>
      <c r="F140" s="58" t="n">
        <f aca="false">IF(F135=0,0,(Projecao!F429+Projecao!F433)/(-F136+E134*(1-Premissas!$B$25)/Premissas!$B$24))</f>
        <v>-0.3334697292863</v>
      </c>
      <c r="G140" s="58" t="n">
        <f aca="false">IF(G135=0,0,(Projecao!G429+Projecao!G433)/(-G136+E134*(1-Premissas!$B$25)/Premissas!$B$24))</f>
        <v>0.181880778630452</v>
      </c>
      <c r="H140" s="58" t="n">
        <f aca="false">IF(H135=0,0,(Projecao!H429+Projecao!H433)/(-H136+E134*(1-Premissas!$B$25)/Premissas!$B$24))</f>
        <v>0.156198431245168</v>
      </c>
      <c r="I140" s="58" t="n">
        <f aca="false">IF(I135=0,0,(Projecao!I429+Projecao!I433)/(-I136+E134*(1-Premissas!$B$25)/Premissas!$B$24))</f>
        <v>0.130824259520711</v>
      </c>
      <c r="J140" s="58" t="n">
        <f aca="false">IF(J135=0,0,(Projecao!J429+Projecao!J433)/(-J136+E134*(1-Premissas!$B$25)/Premissas!$B$24))</f>
        <v>0.105681708055826</v>
      </c>
      <c r="K140" s="58" t="n">
        <f aca="false">IF(K135=0,0,(Projecao!K429+Projecao!K433)/(-K136+E134*(1-Premissas!$B$25)/Premissas!$B$24))</f>
        <v>0.0807009130225375</v>
      </c>
      <c r="L140" s="58" t="n">
        <f aca="false">IF(L135=0,0,(Projecao!L429+Projecao!L433)/(-L136+E134*(1-Premissas!$B$25)/Premissas!$B$24))</f>
        <v>0.0558177345745062</v>
      </c>
      <c r="M140" s="58" t="n">
        <f aca="false">IF(M135=0,0,(Projecao!M429+Projecao!M433)/(-M136+E134*(1-Premissas!$B$25)/Premissas!$B$24))</f>
        <v>0.0309729401932248</v>
      </c>
      <c r="N140" s="58" t="n">
        <f aca="false">IF(N135=0,0,(Projecao!N429+Projecao!N433)/(-N136+E134*(1-Premissas!$B$25)/Premissas!$B$24))</f>
        <v>0.00611151178287169</v>
      </c>
      <c r="O140" s="58" t="n">
        <f aca="false">IF(O135=0,0,(Projecao!O429+Projecao!O433)/(-O136+E134*(1-Premissas!$B$25)/Premissas!$B$24))</f>
        <v>-0.0188179452329925</v>
      </c>
      <c r="P140" s="3"/>
    </row>
    <row r="141" customFormat="false" ht="15" hidden="false" customHeight="false" outlineLevel="0" collapsed="false">
      <c r="A141" s="3"/>
      <c r="B141" s="14" t="s">
        <v>542</v>
      </c>
      <c r="C141" s="40" t="n">
        <f aca="false">-SUM(C139:E139)</f>
        <v>5300000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customFormat="false" ht="15" hidden="false" customHeight="false" outlineLevel="0" collapsed="false">
      <c r="A142" s="3"/>
      <c r="B142" s="14" t="s">
        <v>543</v>
      </c>
      <c r="C142" s="47" t="str">
        <f aca="false">IFERROR(IRR(C139:O139,0.05),IFERROR(IRR(C139:O139,-0.1),IF(SUM(C139:O139)&lt;0,"negativa","n/d")))</f>
        <v>negativa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customFormat="false" ht="15" hidden="false" customHeight="false" outlineLevel="0" collapsed="false">
      <c r="A143" s="3"/>
      <c r="B143" s="14" t="s">
        <v>544</v>
      </c>
      <c r="C143" s="59" t="n">
        <f aca="false">MIN(F140:N140)</f>
        <v>-0.3334697292863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customFormat="false" ht="15" hidden="false" customHeight="false" outlineLevel="0" collapsed="false">
      <c r="A144" s="3"/>
      <c r="B144" s="14" t="s">
        <v>545</v>
      </c>
      <c r="C144" s="48" t="n">
        <f aca="false">-(G136+G137)</f>
        <v>711260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customFormat="false" ht="15" hidden="false" customHeight="false" outlineLevel="0" collapsed="false">
      <c r="A145" s="3"/>
      <c r="B145" s="14" t="s">
        <v>546</v>
      </c>
      <c r="C145" s="48" t="n">
        <f aca="false">MIN(F139:N139)</f>
        <v>-1659250.94522425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customFormat="false" ht="15" hidden="false" customHeight="false" outlineLevel="0" collapsed="false">
      <c r="A148" s="3"/>
      <c r="B148" s="19" t="s">
        <v>554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customFormat="false" ht="15" hidden="false" customHeight="false" outlineLevel="0" collapsed="false">
      <c r="A149" s="3"/>
      <c r="B149" s="3" t="s">
        <v>533</v>
      </c>
      <c r="C149" s="24" t="n">
        <v>0.7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customFormat="false" ht="15" hidden="false" customHeight="false" outlineLevel="0" collapsed="false">
      <c r="A150" s="3"/>
      <c r="B150" s="14" t="s">
        <v>398</v>
      </c>
      <c r="C150" s="14" t="n">
        <v>-2</v>
      </c>
      <c r="D150" s="14" t="n">
        <v>-1</v>
      </c>
      <c r="E150" s="14" t="n">
        <v>0</v>
      </c>
      <c r="F150" s="14" t="n">
        <v>1</v>
      </c>
      <c r="G150" s="14" t="n">
        <v>2</v>
      </c>
      <c r="H150" s="14" t="n">
        <v>3</v>
      </c>
      <c r="I150" s="14" t="n">
        <v>4</v>
      </c>
      <c r="J150" s="14" t="n">
        <v>5</v>
      </c>
      <c r="K150" s="14" t="n">
        <v>6</v>
      </c>
      <c r="L150" s="14" t="n">
        <v>7</v>
      </c>
      <c r="M150" s="14" t="n">
        <v>8</v>
      </c>
      <c r="N150" s="14" t="n">
        <v>9</v>
      </c>
      <c r="O150" s="14" t="n">
        <v>10</v>
      </c>
      <c r="P150" s="3"/>
    </row>
    <row r="151" customFormat="false" ht="15" hidden="false" customHeight="false" outlineLevel="0" collapsed="false">
      <c r="A151" s="3"/>
      <c r="B151" s="4" t="s">
        <v>534</v>
      </c>
      <c r="C151" s="20" t="n">
        <f aca="false">Projecao!C438</f>
        <v>0</v>
      </c>
      <c r="D151" s="20" t="n">
        <f aca="false">Projecao!D438</f>
        <v>0</v>
      </c>
      <c r="E151" s="20" t="n">
        <f aca="false">Projecao!E438</f>
        <v>-10600000</v>
      </c>
      <c r="F151" s="20" t="n">
        <f aca="false">Projecao!F438</f>
        <v>-335760.643478261</v>
      </c>
      <c r="G151" s="20" t="n">
        <f aca="false">Projecao!G438</f>
        <v>20184.5226086951</v>
      </c>
      <c r="H151" s="20" t="n">
        <f aca="false">Projecao!H438</f>
        <v>-369195.726713044</v>
      </c>
      <c r="I151" s="20" t="n">
        <f aca="false">Projecao!I438</f>
        <v>-16954.703139437</v>
      </c>
      <c r="J151" s="20" t="n">
        <f aca="false">Projecao!J438</f>
        <v>-881210.945224246</v>
      </c>
      <c r="K151" s="20" t="n">
        <f aca="false">Projecao!K438</f>
        <v>-549830.318687063</v>
      </c>
      <c r="L151" s="20" t="n">
        <f aca="false">Projecao!L438</f>
        <v>-80656.1076804682</v>
      </c>
      <c r="M151" s="20" t="n">
        <f aca="false">Projecao!M438</f>
        <v>-596149.616570944</v>
      </c>
      <c r="N151" s="20" t="n">
        <f aca="false">Projecao!N438</f>
        <v>-128978.458990395</v>
      </c>
      <c r="O151" s="20" t="n">
        <f aca="false">Projecao!O438</f>
        <v>4035901.28484573</v>
      </c>
      <c r="P151" s="3"/>
    </row>
    <row r="152" customFormat="false" ht="15" hidden="false" customHeight="false" outlineLevel="0" collapsed="false">
      <c r="A152" s="3"/>
      <c r="B152" s="4" t="s">
        <v>535</v>
      </c>
      <c r="C152" s="36" t="n">
        <v>0</v>
      </c>
      <c r="D152" s="36" t="n">
        <v>0</v>
      </c>
      <c r="E152" s="36" t="n">
        <f aca="false">Projecao!$C$451*$C$149</f>
        <v>7420000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0</v>
      </c>
      <c r="K152" s="36" t="n">
        <v>0</v>
      </c>
      <c r="L152" s="36" t="n">
        <v>0</v>
      </c>
      <c r="M152" s="36" t="n">
        <v>0</v>
      </c>
      <c r="N152" s="36" t="n">
        <v>0</v>
      </c>
      <c r="O152" s="36" t="n">
        <v>0</v>
      </c>
      <c r="P152" s="3"/>
    </row>
    <row r="153" customFormat="false" ht="15" hidden="false" customHeight="false" outlineLevel="0" collapsed="false">
      <c r="A153" s="3"/>
      <c r="B153" s="4" t="s">
        <v>536</v>
      </c>
      <c r="C153" s="36" t="n">
        <v>0</v>
      </c>
      <c r="D153" s="36" t="n">
        <v>0</v>
      </c>
      <c r="E153" s="36" t="n">
        <v>0</v>
      </c>
      <c r="F153" s="36" t="n">
        <f aca="false">E152</f>
        <v>7420000</v>
      </c>
      <c r="G153" s="36" t="n">
        <f aca="false">F153-F155</f>
        <v>7939400</v>
      </c>
      <c r="H153" s="36" t="n">
        <f aca="false">G153-G155</f>
        <v>8458800</v>
      </c>
      <c r="I153" s="36" t="n">
        <f aca="false">H153-H155</f>
        <v>8978200</v>
      </c>
      <c r="J153" s="36" t="n">
        <f aca="false">I153-I155</f>
        <v>9497600</v>
      </c>
      <c r="K153" s="36" t="n">
        <f aca="false">J153-J155</f>
        <v>10017000</v>
      </c>
      <c r="L153" s="36" t="n">
        <f aca="false">K153-K155</f>
        <v>10536400</v>
      </c>
      <c r="M153" s="36" t="n">
        <f aca="false">L153-L155</f>
        <v>11055800</v>
      </c>
      <c r="N153" s="36" t="n">
        <f aca="false">M153-M155</f>
        <v>11575200</v>
      </c>
      <c r="O153" s="36" t="n">
        <f aca="false">N153-N155</f>
        <v>12094600</v>
      </c>
      <c r="P153" s="3"/>
    </row>
    <row r="154" customFormat="false" ht="15" hidden="false" customHeight="false" outlineLevel="0" collapsed="false">
      <c r="A154" s="3"/>
      <c r="B154" s="4" t="s">
        <v>537</v>
      </c>
      <c r="C154" s="36" t="n">
        <f aca="false">-C153*Premissas!$B$23</f>
        <v>-0</v>
      </c>
      <c r="D154" s="36" t="n">
        <f aca="false">-D153*Premissas!$B$23</f>
        <v>-0</v>
      </c>
      <c r="E154" s="36" t="n">
        <f aca="false">-E153*Premissas!$B$23</f>
        <v>-0</v>
      </c>
      <c r="F154" s="36" t="n">
        <f aca="false">-F153*Premissas!$B$23</f>
        <v>-445200</v>
      </c>
      <c r="G154" s="36" t="n">
        <f aca="false">-G153*Premissas!$B$23</f>
        <v>-476364</v>
      </c>
      <c r="H154" s="36" t="n">
        <f aca="false">-H153*Premissas!$B$23</f>
        <v>-507528</v>
      </c>
      <c r="I154" s="36" t="n">
        <f aca="false">-I153*Premissas!$B$23</f>
        <v>-538692</v>
      </c>
      <c r="J154" s="36" t="n">
        <f aca="false">-J153*Premissas!$B$23</f>
        <v>-569856</v>
      </c>
      <c r="K154" s="36" t="n">
        <f aca="false">-K153*Premissas!$B$23</f>
        <v>-601020</v>
      </c>
      <c r="L154" s="36" t="n">
        <f aca="false">-L153*Premissas!$B$23</f>
        <v>-632184</v>
      </c>
      <c r="M154" s="36" t="n">
        <f aca="false">-M153*Premissas!$B$23</f>
        <v>-663348</v>
      </c>
      <c r="N154" s="36" t="n">
        <f aca="false">-N153*Premissas!$B$23</f>
        <v>-694512</v>
      </c>
      <c r="O154" s="36" t="n">
        <f aca="false">-O153*Premissas!$B$23</f>
        <v>-725676</v>
      </c>
      <c r="P154" s="3"/>
    </row>
    <row r="155" customFormat="false" ht="15" hidden="false" customHeight="false" outlineLevel="0" collapsed="false">
      <c r="A155" s="3"/>
      <c r="B155" s="4" t="s">
        <v>538</v>
      </c>
      <c r="C155" s="36" t="n">
        <v>0</v>
      </c>
      <c r="D155" s="36" t="n">
        <v>0</v>
      </c>
      <c r="E155" s="36" t="n">
        <v>0</v>
      </c>
      <c r="F155" s="36" t="n">
        <f aca="false">-IF(F$150&lt;Premissas!$B$24,E152*(1-Premissas!$B$25)/Premissas!$B$24,F153)</f>
        <v>-519400</v>
      </c>
      <c r="G155" s="36" t="n">
        <f aca="false">-IF(G$150&lt;Premissas!$B$24,E152*(1-Premissas!$B$25)/Premissas!$B$24,G153)</f>
        <v>-519400</v>
      </c>
      <c r="H155" s="36" t="n">
        <f aca="false">-IF(H$150&lt;Premissas!$B$24,E152*(1-Premissas!$B$25)/Premissas!$B$24,H153)</f>
        <v>-519400</v>
      </c>
      <c r="I155" s="36" t="n">
        <f aca="false">-IF(I$150&lt;Premissas!$B$24,E152*(1-Premissas!$B$25)/Premissas!$B$24,I153)</f>
        <v>-519400</v>
      </c>
      <c r="J155" s="36" t="n">
        <f aca="false">-IF(J$150&lt;Premissas!$B$24,E152*(1-Premissas!$B$25)/Premissas!$B$24,J153)</f>
        <v>-519400</v>
      </c>
      <c r="K155" s="36" t="n">
        <f aca="false">-IF(K$150&lt;Premissas!$B$24,E152*(1-Premissas!$B$25)/Premissas!$B$24,K153)</f>
        <v>-519400</v>
      </c>
      <c r="L155" s="36" t="n">
        <f aca="false">-IF(L$150&lt;Premissas!$B$24,E152*(1-Premissas!$B$25)/Premissas!$B$24,L153)</f>
        <v>-519400</v>
      </c>
      <c r="M155" s="36" t="n">
        <f aca="false">-IF(M$150&lt;Premissas!$B$24,E152*(1-Premissas!$B$25)/Premissas!$B$24,M153)</f>
        <v>-519400</v>
      </c>
      <c r="N155" s="36" t="n">
        <f aca="false">-IF(N$150&lt;Premissas!$B$24,E152*(1-Premissas!$B$25)/Premissas!$B$24,N153)</f>
        <v>-519400</v>
      </c>
      <c r="O155" s="36" t="n">
        <f aca="false">-IF(O$150&lt;Premissas!$B$24,E152*(1-Premissas!$B$25)/Premissas!$B$24,O153)</f>
        <v>-12094600</v>
      </c>
      <c r="P155" s="3"/>
    </row>
    <row r="156" customFormat="false" ht="15" hidden="false" customHeight="false" outlineLevel="0" collapsed="false">
      <c r="A156" s="3"/>
      <c r="B156" s="4" t="s">
        <v>539</v>
      </c>
      <c r="C156" s="36" t="n">
        <v>0</v>
      </c>
      <c r="D156" s="36" t="n">
        <v>0</v>
      </c>
      <c r="E156" s="36" t="n">
        <v>0</v>
      </c>
      <c r="F156" s="36" t="n">
        <f aca="false">MIN(-F154,MAX(0,Projecao!F432))*Premissas!$B$11</f>
        <v>0</v>
      </c>
      <c r="G156" s="36" t="n">
        <f aca="false">MIN(-G154,MAX(0,Projecao!G432))*Premissas!$B$11</f>
        <v>0</v>
      </c>
      <c r="H156" s="36" t="n">
        <f aca="false">MIN(-H154,MAX(0,Projecao!H432))*Premissas!$B$11</f>
        <v>0</v>
      </c>
      <c r="I156" s="36" t="n">
        <f aca="false">MIN(-I154,MAX(0,Projecao!I432))*Premissas!$B$11</f>
        <v>0</v>
      </c>
      <c r="J156" s="36" t="n">
        <f aca="false">MIN(-J154,MAX(0,Projecao!J432))*Premissas!$B$11</f>
        <v>0</v>
      </c>
      <c r="K156" s="36" t="n">
        <f aca="false">MIN(-K154,MAX(0,Projecao!K432))*Premissas!$B$11</f>
        <v>0</v>
      </c>
      <c r="L156" s="36" t="n">
        <f aca="false">MIN(-L154,MAX(0,Projecao!L432))*Premissas!$B$11</f>
        <v>0</v>
      </c>
      <c r="M156" s="36" t="n">
        <f aca="false">MIN(-M154,MAX(0,Projecao!M432))*Premissas!$B$11</f>
        <v>0</v>
      </c>
      <c r="N156" s="36" t="n">
        <f aca="false">MIN(-N154,MAX(0,Projecao!N432))*Premissas!$B$11</f>
        <v>0</v>
      </c>
      <c r="O156" s="36" t="n">
        <f aca="false">MIN(-O154,MAX(0,Projecao!O432))*Premissas!$B$11</f>
        <v>0</v>
      </c>
      <c r="P156" s="3"/>
    </row>
    <row r="157" customFormat="false" ht="15" hidden="false" customHeight="false" outlineLevel="0" collapsed="false">
      <c r="A157" s="3"/>
      <c r="B157" s="14" t="s">
        <v>540</v>
      </c>
      <c r="C157" s="40" t="n">
        <f aca="false">C151+C152+C154+C155+C156</f>
        <v>0</v>
      </c>
      <c r="D157" s="40" t="n">
        <f aca="false">D151+D152+D154+D155+D156</f>
        <v>0</v>
      </c>
      <c r="E157" s="40" t="n">
        <f aca="false">E151+E152+E154+E155+E156</f>
        <v>-3180000</v>
      </c>
      <c r="F157" s="40" t="n">
        <f aca="false">F151+F152+F154+F155+F156</f>
        <v>-1300360.64347826</v>
      </c>
      <c r="G157" s="40" t="n">
        <f aca="false">G151+G152+G154+G155+G156</f>
        <v>-975579.477391305</v>
      </c>
      <c r="H157" s="40" t="n">
        <f aca="false">H151+H152+H154+H155+H156</f>
        <v>-1396123.72671304</v>
      </c>
      <c r="I157" s="40" t="n">
        <f aca="false">I151+I152+I154+I155+I156</f>
        <v>-1075046.70313944</v>
      </c>
      <c r="J157" s="40" t="n">
        <f aca="false">J151+J152+J154+J155+J156</f>
        <v>-1970466.94522425</v>
      </c>
      <c r="K157" s="40" t="n">
        <f aca="false">K151+K152+K154+K155+K156</f>
        <v>-1670250.31868706</v>
      </c>
      <c r="L157" s="40" t="n">
        <f aca="false">L151+L152+L154+L155+L156</f>
        <v>-1232240.10768047</v>
      </c>
      <c r="M157" s="40" t="n">
        <f aca="false">M151+M152+M154+M155+M156</f>
        <v>-1778897.61657094</v>
      </c>
      <c r="N157" s="40" t="n">
        <f aca="false">N151+N152+N154+N155+N156</f>
        <v>-1342890.45899039</v>
      </c>
      <c r="O157" s="40" t="n">
        <f aca="false">O151+O152+O154+O155+O156</f>
        <v>-8784374.71515427</v>
      </c>
      <c r="P157" s="3"/>
    </row>
    <row r="158" customFormat="false" ht="15" hidden="false" customHeight="false" outlineLevel="0" collapsed="false">
      <c r="A158" s="3"/>
      <c r="B158" s="4" t="s">
        <v>541</v>
      </c>
      <c r="C158" s="58" t="n">
        <v>0</v>
      </c>
      <c r="D158" s="58" t="n">
        <v>0</v>
      </c>
      <c r="E158" s="58" t="n">
        <v>0</v>
      </c>
      <c r="F158" s="58" t="n">
        <f aca="false">IF(F153=0,0,(Projecao!F429+Projecao!F433)/(-F154+E152*(1-Premissas!$B$25)/Premissas!$B$24))</f>
        <v>-0.238192663775929</v>
      </c>
      <c r="G158" s="58" t="n">
        <f aca="false">IF(G153=0,0,(Projecao!G429+Projecao!G433)/(-G154+E152*(1-Premissas!$B$25)/Premissas!$B$24))</f>
        <v>0.129914841878894</v>
      </c>
      <c r="H158" s="58" t="n">
        <f aca="false">IF(H153=0,0,(Projecao!H429+Projecao!H433)/(-H154+E152*(1-Premissas!$B$25)/Premissas!$B$24))</f>
        <v>0.111570308032263</v>
      </c>
      <c r="I158" s="58" t="n">
        <f aca="false">IF(I153=0,0,(Projecao!I429+Projecao!I433)/(-I154+E152*(1-Premissas!$B$25)/Premissas!$B$24))</f>
        <v>0.0934458996576508</v>
      </c>
      <c r="J158" s="58" t="n">
        <f aca="false">IF(J153=0,0,(Projecao!J429+Projecao!J433)/(-J154+E152*(1-Premissas!$B$25)/Premissas!$B$24))</f>
        <v>0.0754869343255898</v>
      </c>
      <c r="K158" s="58" t="n">
        <f aca="false">IF(K153=0,0,(Projecao!K429+Projecao!K433)/(-K154+E152*(1-Premissas!$B$25)/Premissas!$B$24))</f>
        <v>0.0576435093018125</v>
      </c>
      <c r="L158" s="58" t="n">
        <f aca="false">IF(L153=0,0,(Projecao!L429+Projecao!L433)/(-L154+E152*(1-Premissas!$B$25)/Premissas!$B$24))</f>
        <v>0.0398698104103615</v>
      </c>
      <c r="M158" s="58" t="n">
        <f aca="false">IF(M153=0,0,(Projecao!M429+Projecao!M433)/(-M154+E152*(1-Premissas!$B$25)/Premissas!$B$24))</f>
        <v>0.0221235287094463</v>
      </c>
      <c r="N158" s="58" t="n">
        <f aca="false">IF(N153=0,0,(Projecao!N429+Projecao!N433)/(-N154+E152*(1-Premissas!$B$25)/Premissas!$B$24))</f>
        <v>0.00436536555919407</v>
      </c>
      <c r="O158" s="58" t="n">
        <f aca="false">IF(O153=0,0,(Projecao!O429+Projecao!O433)/(-O154+E152*(1-Premissas!$B$25)/Premissas!$B$24))</f>
        <v>-0.0134413894521375</v>
      </c>
      <c r="P158" s="3"/>
    </row>
    <row r="159" customFormat="false" ht="15" hidden="false" customHeight="false" outlineLevel="0" collapsed="false">
      <c r="A159" s="3"/>
      <c r="B159" s="14" t="s">
        <v>542</v>
      </c>
      <c r="C159" s="40" t="n">
        <f aca="false">-SUM(C157:E157)</f>
        <v>3180000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customFormat="false" ht="15" hidden="false" customHeight="false" outlineLevel="0" collapsed="false">
      <c r="A160" s="3"/>
      <c r="B160" s="14" t="s">
        <v>543</v>
      </c>
      <c r="C160" s="47" t="str">
        <f aca="false">IFERROR(IRR(C157:O157,0.05),IFERROR(IRR(C157:O157,-0.1),IF(SUM(C157:O157)&lt;0,"negativa","n/d")))</f>
        <v>negativa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customFormat="false" ht="15" hidden="false" customHeight="false" outlineLevel="0" collapsed="false">
      <c r="A161" s="3"/>
      <c r="B161" s="14" t="s">
        <v>544</v>
      </c>
      <c r="C161" s="59" t="n">
        <f aca="false">MIN(F158:N158)</f>
        <v>-0.238192663775929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customFormat="false" ht="15" hidden="false" customHeight="false" outlineLevel="0" collapsed="false">
      <c r="A162" s="3"/>
      <c r="B162" s="14" t="s">
        <v>545</v>
      </c>
      <c r="C162" s="48" t="n">
        <f aca="false">-(G154+G155)</f>
        <v>995764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customFormat="false" ht="15" hidden="false" customHeight="false" outlineLevel="0" collapsed="false">
      <c r="A163" s="3"/>
      <c r="B163" s="14" t="s">
        <v>546</v>
      </c>
      <c r="C163" s="48" t="n">
        <f aca="false">MIN(F157:N157)</f>
        <v>-1970466.94522425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555</v>
      </c>
      <c r="B1" s="2"/>
      <c r="C1" s="2"/>
    </row>
    <row r="2" customFormat="false" ht="15" hidden="false" customHeight="false" outlineLevel="0" collapsed="false">
      <c r="A2" s="3"/>
      <c r="B2" s="3"/>
      <c r="C2" s="3"/>
    </row>
    <row r="3" customFormat="false" ht="15" hidden="false" customHeight="false" outlineLevel="0" collapsed="false">
      <c r="A3" s="14" t="s">
        <v>556</v>
      </c>
      <c r="B3" s="4" t="s">
        <v>557</v>
      </c>
      <c r="C3" s="3"/>
    </row>
    <row r="4" customFormat="false" ht="15" hidden="false" customHeight="false" outlineLevel="0" collapsed="false">
      <c r="A4" s="14" t="s">
        <v>558</v>
      </c>
      <c r="B4" s="4" t="s">
        <v>559</v>
      </c>
      <c r="C4" s="3"/>
    </row>
    <row r="5" customFormat="false" ht="15" hidden="false" customHeight="false" outlineLevel="0" collapsed="false">
      <c r="A5" s="14" t="s">
        <v>560</v>
      </c>
      <c r="B5" s="4" t="s">
        <v>561</v>
      </c>
      <c r="C5" s="3"/>
    </row>
    <row r="6" customFormat="false" ht="15" hidden="false" customHeight="false" outlineLevel="0" collapsed="false">
      <c r="A6" s="14" t="s">
        <v>562</v>
      </c>
      <c r="B6" s="4" t="s">
        <v>563</v>
      </c>
      <c r="C6" s="3"/>
    </row>
    <row r="7" customFormat="false" ht="15" hidden="false" customHeight="false" outlineLevel="0" collapsed="false">
      <c r="A7" s="14" t="s">
        <v>564</v>
      </c>
      <c r="B7" s="4" t="s">
        <v>565</v>
      </c>
      <c r="C7" s="3"/>
    </row>
    <row r="8" customFormat="false" ht="15" hidden="false" customHeight="false" outlineLevel="0" collapsed="false">
      <c r="A8" s="14" t="s">
        <v>566</v>
      </c>
      <c r="B8" s="4" t="s">
        <v>567</v>
      </c>
      <c r="C8" s="3"/>
    </row>
    <row r="9" customFormat="false" ht="15" hidden="false" customHeight="false" outlineLevel="0" collapsed="false">
      <c r="A9" s="14" t="s">
        <v>568</v>
      </c>
      <c r="B9" s="4" t="s">
        <v>569</v>
      </c>
      <c r="C9" s="3"/>
    </row>
    <row r="10" customFormat="false" ht="15" hidden="false" customHeight="false" outlineLevel="0" collapsed="false">
      <c r="A10" s="14" t="s">
        <v>570</v>
      </c>
      <c r="B10" s="4" t="s">
        <v>571</v>
      </c>
      <c r="C10" s="3"/>
    </row>
    <row r="11" customFormat="false" ht="15" hidden="false" customHeight="false" outlineLevel="0" collapsed="false">
      <c r="A11" s="14" t="s">
        <v>572</v>
      </c>
      <c r="B11" s="4" t="s">
        <v>573</v>
      </c>
      <c r="C11" s="3"/>
    </row>
    <row r="12" customFormat="false" ht="15" hidden="false" customHeight="false" outlineLevel="0" collapsed="false">
      <c r="A12" s="14" t="s">
        <v>574</v>
      </c>
      <c r="B12" s="4" t="s">
        <v>575</v>
      </c>
      <c r="C12" s="3"/>
    </row>
    <row r="13" customFormat="false" ht="15" hidden="false" customHeight="false" outlineLevel="0" collapsed="false">
      <c r="A13" s="14" t="s">
        <v>576</v>
      </c>
      <c r="B13" s="4" t="s">
        <v>577</v>
      </c>
      <c r="C13" s="3"/>
    </row>
    <row r="14" customFormat="false" ht="15" hidden="false" customHeight="false" outlineLevel="0" collapsed="false">
      <c r="A14" s="14" t="s">
        <v>578</v>
      </c>
      <c r="B14" s="4" t="s">
        <v>579</v>
      </c>
      <c r="C14" s="3"/>
    </row>
    <row r="15" customFormat="false" ht="15" hidden="false" customHeight="false" outlineLevel="0" collapsed="false">
      <c r="A15" s="14" t="s">
        <v>580</v>
      </c>
      <c r="B15" s="4" t="s">
        <v>581</v>
      </c>
      <c r="C15" s="3"/>
    </row>
    <row r="16" customFormat="false" ht="15" hidden="false" customHeight="false" outlineLevel="0" collapsed="false">
      <c r="A16" s="14" t="s">
        <v>582</v>
      </c>
      <c r="B16" s="4" t="s">
        <v>583</v>
      </c>
      <c r="C16" s="3"/>
    </row>
    <row r="17" customFormat="false" ht="15" hidden="false" customHeight="false" outlineLevel="0" collapsed="false">
      <c r="A17" s="14" t="s">
        <v>584</v>
      </c>
      <c r="B17" s="4" t="s">
        <v>585</v>
      </c>
      <c r="C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2026-10-07T12:46:02Z</dcterms:created>
  <dc:creator>openpyxl</dc:creator>
  <dc:description/>
  <dc:language>en-US</dc:language>
  <cp:lastModifiedBy/>
  <dcterms:modified xsi:type="dcterms:W3CDTF">2026-10-07T12:46:03Z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